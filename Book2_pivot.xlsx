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Admin09\Documents\"/>
    </mc:Choice>
  </mc:AlternateContent>
  <xr:revisionPtr revIDLastSave="0" documentId="13_ncr:1_{86E01192-16AA-435A-841F-DD0D14897DDB}" xr6:coauthVersionLast="47" xr6:coauthVersionMax="47" xr10:uidLastSave="{00000000-0000-0000-0000-000000000000}"/>
  <bookViews>
    <workbookView xWindow="-120" yWindow="-120" windowWidth="29040" windowHeight="15840" activeTab="1" xr2:uid="{83202E7F-F38E-4FCC-B4DF-8C2A5BD71B24}"/>
  </bookViews>
  <sheets>
    <sheet name="Sheet4" sheetId="4" r:id="rId1"/>
    <sheet name="Sheet1" sheetId="8" r:id="rId2"/>
    <sheet name="Sheet2" sheetId="9" r:id="rId3"/>
    <sheet name="Sheet5" sheetId="11" r:id="rId4"/>
    <sheet name="Dataset" sheetId="1" r:id="rId5"/>
    <sheet name="Sheet3" sheetId="10" r:id="rId6"/>
    <sheet name="Data_Set" sheetId="6" r:id="rId7"/>
  </sheets>
  <definedNames>
    <definedName name="emp_nyss">#REF!</definedName>
    <definedName name="emp_table">#REF!</definedName>
    <definedName name="MyEmployeeDataRecord">#REF!</definedName>
    <definedName name="Slicer_Country">#N/A</definedName>
  </definedNames>
  <calcPr calcId="191029"/>
  <pivotCaches>
    <pivotCache cacheId="14" r:id="rId8"/>
    <pivotCache cacheId="13"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3" i="1" l="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<sst xmlns="http://schemas.openxmlformats.org/spreadsheetml/2006/main" count="1325" uniqueCount="175">
  <si>
    <t>Date</t>
  </si>
  <si>
    <t>Amount</t>
  </si>
  <si>
    <t>Order ID</t>
  </si>
  <si>
    <t>Product</t>
  </si>
  <si>
    <t>Category</t>
  </si>
  <si>
    <t>Country</t>
  </si>
  <si>
    <t>Date Of Export</t>
  </si>
  <si>
    <t>TAX</t>
  </si>
  <si>
    <t>Carrots</t>
  </si>
  <si>
    <t>Vegetables</t>
  </si>
  <si>
    <t>United States</t>
  </si>
  <si>
    <t>Broccoli</t>
  </si>
  <si>
    <t>United Kingdom</t>
  </si>
  <si>
    <t>Banana</t>
  </si>
  <si>
    <t>Fruit</t>
  </si>
  <si>
    <t>Nuts</t>
  </si>
  <si>
    <t>DRY FRUITS</t>
  </si>
  <si>
    <t>Canada</t>
  </si>
  <si>
    <t>Beans</t>
  </si>
  <si>
    <t>Germany</t>
  </si>
  <si>
    <t>Orange</t>
  </si>
  <si>
    <t>Australia</t>
  </si>
  <si>
    <t>New Zealand</t>
  </si>
  <si>
    <t>Apple</t>
  </si>
  <si>
    <t>France</t>
  </si>
  <si>
    <t>CROPS</t>
  </si>
  <si>
    <t>Mango</t>
  </si>
  <si>
    <t>Dry Apricot</t>
  </si>
  <si>
    <t>Dry Nut</t>
  </si>
  <si>
    <t>Appricots</t>
  </si>
  <si>
    <t>Row Labels</t>
  </si>
  <si>
    <t>Grand Total</t>
  </si>
  <si>
    <t>Sum of Amount</t>
  </si>
  <si>
    <t>Column Labels</t>
  </si>
  <si>
    <t>Sum of TAX</t>
  </si>
  <si>
    <t>Total Sum of Amount</t>
  </si>
  <si>
    <t>Total Sum of TAX</t>
  </si>
  <si>
    <t>Product ID</t>
  </si>
  <si>
    <t>Product Name</t>
  </si>
  <si>
    <t>Product Price</t>
  </si>
  <si>
    <t>Units</t>
  </si>
  <si>
    <t>Shipping Area</t>
  </si>
  <si>
    <t>Shipping Cost</t>
  </si>
  <si>
    <t>CATID</t>
  </si>
  <si>
    <t>Original Price</t>
  </si>
  <si>
    <t>Dis%</t>
  </si>
  <si>
    <t>Discounted_Price</t>
  </si>
  <si>
    <t>Price After Discount</t>
  </si>
  <si>
    <t>DisCount_BikeRacks</t>
  </si>
  <si>
    <t>Rev_dis%</t>
  </si>
  <si>
    <t>Rev_Price</t>
  </si>
  <si>
    <t>CustomerName</t>
  </si>
  <si>
    <t>Price/Unit</t>
  </si>
  <si>
    <t>SLO7881</t>
  </si>
  <si>
    <t>Measuring cups</t>
  </si>
  <si>
    <t>DXB</t>
  </si>
  <si>
    <t>C001</t>
  </si>
  <si>
    <t>Accessories</t>
  </si>
  <si>
    <t>BikeRacks</t>
  </si>
  <si>
    <t>LAD7890</t>
  </si>
  <si>
    <t>Ladle</t>
  </si>
  <si>
    <t>ABD</t>
  </si>
  <si>
    <t>C002</t>
  </si>
  <si>
    <t>Slotted spoon</t>
  </si>
  <si>
    <t>SHJ</t>
  </si>
  <si>
    <t>C003</t>
  </si>
  <si>
    <t>Lights</t>
  </si>
  <si>
    <t>COL7886</t>
  </si>
  <si>
    <t>12" copper skillet</t>
  </si>
  <si>
    <t>AIL</t>
  </si>
  <si>
    <t>C004</t>
  </si>
  <si>
    <t>Locks</t>
  </si>
  <si>
    <t>GAR7883</t>
  </si>
  <si>
    <t>Garlic press</t>
  </si>
  <si>
    <t>CA</t>
  </si>
  <si>
    <t>C005</t>
  </si>
  <si>
    <t>Bikes</t>
  </si>
  <si>
    <t>CHE7888</t>
  </si>
  <si>
    <t>Can opener</t>
  </si>
  <si>
    <t>TY</t>
  </si>
  <si>
    <t>C006</t>
  </si>
  <si>
    <t>Mountain Bikes</t>
  </si>
  <si>
    <t>FOI7885</t>
  </si>
  <si>
    <t>Foil wrap</t>
  </si>
  <si>
    <t>KU</t>
  </si>
  <si>
    <t>C007</t>
  </si>
  <si>
    <t>Bib-Shorts</t>
  </si>
  <si>
    <t>MXR8820</t>
  </si>
  <si>
    <t>Colander1</t>
  </si>
  <si>
    <t>HY</t>
  </si>
  <si>
    <t>C008</t>
  </si>
  <si>
    <t>MES7887</t>
  </si>
  <si>
    <t>Mesh sieve</t>
  </si>
  <si>
    <t>NY</t>
  </si>
  <si>
    <t>C009</t>
  </si>
  <si>
    <t>Clothing</t>
  </si>
  <si>
    <t>Gloves</t>
  </si>
  <si>
    <t>Cheesecloth</t>
  </si>
  <si>
    <t>UK</t>
  </si>
  <si>
    <t>C010</t>
  </si>
  <si>
    <t>Jerseys</t>
  </si>
  <si>
    <t>COP7889</t>
  </si>
  <si>
    <t>9" copper pot</t>
  </si>
  <si>
    <t>MN</t>
  </si>
  <si>
    <t>C011</t>
  </si>
  <si>
    <t>Components</t>
  </si>
  <si>
    <t>Bottom Brackets</t>
  </si>
  <si>
    <t>RAM7890</t>
  </si>
  <si>
    <t>Ramekin</t>
  </si>
  <si>
    <t>DX</t>
  </si>
  <si>
    <t>C012</t>
  </si>
  <si>
    <t>RAM7892</t>
  </si>
  <si>
    <t>Afdert</t>
  </si>
  <si>
    <t>AL</t>
  </si>
  <si>
    <t>C013</t>
  </si>
  <si>
    <t>Brakes</t>
  </si>
  <si>
    <t>RAM2003</t>
  </si>
  <si>
    <t>ServerScrew</t>
  </si>
  <si>
    <t>UKM</t>
  </si>
  <si>
    <t>C014</t>
  </si>
  <si>
    <t>Handlebars</t>
  </si>
  <si>
    <t>CAT6001</t>
  </si>
  <si>
    <t>CatCableF40</t>
  </si>
  <si>
    <t>DMM</t>
  </si>
  <si>
    <t>C015</t>
  </si>
  <si>
    <t>TF4005</t>
  </si>
  <si>
    <t>TFTSMonitor</t>
  </si>
  <si>
    <t>MSQ</t>
  </si>
  <si>
    <t>C016</t>
  </si>
  <si>
    <t>GHC66554</t>
  </si>
  <si>
    <t>Oil Spray</t>
  </si>
  <si>
    <t>YYZ</t>
  </si>
  <si>
    <t>C017</t>
  </si>
  <si>
    <t>BTL9001</t>
  </si>
  <si>
    <t>Bottle Opener</t>
  </si>
  <si>
    <t>C018</t>
  </si>
  <si>
    <t>PTS5602</t>
  </si>
  <si>
    <t>Pasta Server</t>
  </si>
  <si>
    <t>C019</t>
  </si>
  <si>
    <t>FRP3403</t>
  </si>
  <si>
    <t>Frying Pan</t>
  </si>
  <si>
    <t>C020</t>
  </si>
  <si>
    <t>MTB4504</t>
  </si>
  <si>
    <t>Mountain Helmet</t>
  </si>
  <si>
    <t>C021</t>
  </si>
  <si>
    <t>Helmets</t>
  </si>
  <si>
    <t>JKT8705</t>
  </si>
  <si>
    <t>Cycling Jacket</t>
  </si>
  <si>
    <t>C022</t>
  </si>
  <si>
    <t>Jackets</t>
  </si>
  <si>
    <t>SPN9012</t>
  </si>
  <si>
    <t>Spatula Set</t>
  </si>
  <si>
    <t>C023</t>
  </si>
  <si>
    <t>MTB3107</t>
  </si>
  <si>
    <t>Tire Pump</t>
  </si>
  <si>
    <t>C024</t>
  </si>
  <si>
    <t>GLS1120</t>
  </si>
  <si>
    <t>Oven Gloves</t>
  </si>
  <si>
    <t>C025</t>
  </si>
  <si>
    <t>BLN3345</t>
  </si>
  <si>
    <t>Blender Bottle</t>
  </si>
  <si>
    <t>C026</t>
  </si>
  <si>
    <t>Handlebar Grips</t>
  </si>
  <si>
    <t>OIL7771</t>
  </si>
  <si>
    <t>Olive Oil Spray</t>
  </si>
  <si>
    <t>C027</t>
  </si>
  <si>
    <t>Mixer Grinder</t>
  </si>
  <si>
    <t>C028</t>
  </si>
  <si>
    <t>BSK2211</t>
  </si>
  <si>
    <t>Bread Basket Set</t>
  </si>
  <si>
    <t>C029</t>
  </si>
  <si>
    <t>Average of Amount</t>
  </si>
  <si>
    <t>Max of Amount</t>
  </si>
  <si>
    <t>Sum of Product Price</t>
  </si>
  <si>
    <t>Sum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</si>
</sst>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 #,##0_-;_-* &quot;-&quot;??_-;_-@_-"/>
    <numFmt numFmtId="165" formatCode="_-[$AED-4C09]* #,##0.00_-;\-[$AED-4C09]* #,##0.00_-;_-[$AED-4C09]* &quot;-&quot;??_-;_-@_-"/>
    <numFmt numFmtId="166" formatCode="_-&quot;AED&quot;* #,##0.00_-;\-&quot;AED&quot;* #,##0.00_-;_-&quot;AED&quot;* &quot;-&quot;??_-;_-@_-"/>
    <numFmt numFmtId="167" formatCode="_([$AED]\ * #,##0.00_);_([$AED]\ * \(#,##0.00\);_([$AED]\ * &quot;-&quot;??_);_(@_)"/>
  </numFmts>
  <fonts count="15" x14ac:knownFonts="1">
    <font>
      <sz val="11"/>
      <color theme="1"/>
      <name val="Calibri"/>
      <family val="2"/>
      <scheme val="minor"/>
    </font>
    <font>
      <sz val="10"/>
      <color theme="1"/>
      <name val="Calibri"/>
      <family val="2"/>
      <scheme val="minor"/>
    </font>
    <font>
      <b/>
      <sz val="11"/>
      <color rgb="FF00B0F0"/>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b/>
      <sz val="11"/>
      <color theme="0"/>
      <name val="Calibri"/>
      <family val="2"/>
      <scheme val="minor"/>
    </font>
    <font>
      <sz val="11"/>
      <color theme="0"/>
      <name val="Calibri"/>
      <family val="2"/>
      <scheme val="minor"/>
    </font>
    <font>
      <b/>
      <sz val="11"/>
      <color theme="0"/>
      <name val="Segoe UI"/>
      <family val="2"/>
    </font>
    <font>
      <sz val="11"/>
      <color theme="1"/>
      <name val="Segoe UI"/>
      <family val="2"/>
    </font>
    <font>
      <b/>
      <sz val="10"/>
      <color theme="1"/>
      <name val="Times New Roman"/>
      <family val="1"/>
    </font>
    <font>
      <b/>
      <sz val="11"/>
      <color rgb="FF0000FF"/>
      <name val="Segoe UI"/>
      <family val="2"/>
    </font>
    <font>
      <sz val="11"/>
      <name val="Segoe UI"/>
      <family val="2"/>
    </font>
    <font>
      <sz val="11"/>
      <color rgb="FF0000FF"/>
      <name val="Calibri"/>
      <family val="2"/>
      <scheme val="minor"/>
    </font>
    <font>
      <sz val="12"/>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rgb="FFC6EFCE"/>
      </patternFill>
    </fill>
    <fill>
      <patternFill patternType="solid">
        <fgColor theme="4"/>
      </patternFill>
    </fill>
    <fill>
      <patternFill patternType="solid">
        <fgColor theme="7"/>
      </patternFill>
    </fill>
    <fill>
      <patternFill patternType="solid">
        <fgColor theme="8"/>
      </patternFill>
    </fill>
    <fill>
      <patternFill patternType="solid">
        <fgColor theme="8"/>
        <bgColor theme="8"/>
      </patternFill>
    </fill>
    <fill>
      <patternFill patternType="solid">
        <fgColor rgb="FFCFCFD3"/>
        <bgColor indexed="64"/>
      </patternFill>
    </fill>
    <fill>
      <patternFill patternType="solid">
        <fgColor theme="0"/>
        <bgColor indexed="64"/>
      </patternFill>
    </fill>
  </fills>
  <borders count="12">
    <border>
      <left/>
      <right/>
      <top/>
      <bottom/>
      <diagonal/>
    </border>
    <border>
      <left style="thin">
        <color theme="8" tint="0.39997558519241921"/>
      </left>
      <right/>
      <top style="thin">
        <color theme="8" tint="0.39997558519241921"/>
      </top>
      <bottom/>
      <diagonal/>
    </border>
    <border>
      <left/>
      <right/>
      <top style="thin">
        <color theme="8" tint="0.39997558519241921"/>
      </top>
      <bottom/>
      <diagonal/>
    </border>
    <border>
      <left/>
      <right style="thin">
        <color theme="8" tint="0.39997558519241921"/>
      </right>
      <top style="thin">
        <color theme="8" tint="0.39997558519241921"/>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indexed="64"/>
      </right>
      <top style="thick">
        <color theme="0"/>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bottom/>
      <diagonal/>
    </border>
  </borders>
  <cellStyleXfs count="8">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5"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cellStyleXfs>
  <cellXfs count="53">
    <xf numFmtId="0" fontId="0" fillId="0" borderId="0" xfId="0"/>
    <xf numFmtId="0" fontId="0" fillId="0" borderId="0" xfId="0" applyAlignment="1">
      <alignment vertical="center" wrapText="1"/>
    </xf>
    <xf numFmtId="0" fontId="1" fillId="0" borderId="0" xfId="0" applyFont="1" applyAlignment="1">
      <alignment vertical="center" wrapText="1"/>
    </xf>
    <xf numFmtId="0" fontId="2" fillId="0" borderId="0" xfId="0" applyFont="1"/>
    <xf numFmtId="44" fontId="2" fillId="0" borderId="0" xfId="0" applyNumberFormat="1" applyFont="1"/>
    <xf numFmtId="44" fontId="0" fillId="0" borderId="0" xfId="0" applyNumberFormat="1"/>
    <xf numFmtId="14"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8" fillId="7" borderId="1"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6" fillId="4" borderId="4" xfId="5" applyFont="1" applyBorder="1" applyAlignment="1">
      <alignment horizontal="center"/>
    </xf>
    <xf numFmtId="0" fontId="6" fillId="4" borderId="5" xfId="5" applyFont="1" applyBorder="1" applyAlignment="1">
      <alignment horizontal="center"/>
    </xf>
    <xf numFmtId="164" fontId="6" fillId="4" borderId="6" xfId="5" applyNumberFormat="1" applyFont="1" applyBorder="1" applyAlignment="1">
      <alignment horizontal="center"/>
    </xf>
    <xf numFmtId="164" fontId="6" fillId="4" borderId="6" xfId="5" applyNumberFormat="1" applyFont="1" applyBorder="1" applyAlignment="1">
      <alignment horizontal="right"/>
    </xf>
    <xf numFmtId="0" fontId="5" fillId="3" borderId="0" xfId="4" applyBorder="1"/>
    <xf numFmtId="0" fontId="9" fillId="0" borderId="0" xfId="0" applyFont="1"/>
    <xf numFmtId="44" fontId="9" fillId="0" borderId="0" xfId="2" applyFont="1"/>
    <xf numFmtId="9" fontId="9" fillId="0" borderId="0" xfId="0" applyNumberFormat="1" applyFont="1"/>
    <xf numFmtId="9" fontId="10" fillId="8" borderId="7" xfId="3" applyFont="1" applyFill="1" applyBorder="1" applyAlignment="1">
      <alignment horizontal="center" vertical="center"/>
    </xf>
    <xf numFmtId="0" fontId="3" fillId="0" borderId="4" xfId="5" applyFont="1" applyFill="1" applyBorder="1"/>
    <xf numFmtId="0" fontId="3" fillId="0" borderId="5" xfId="5" applyFont="1" applyFill="1" applyBorder="1"/>
    <xf numFmtId="165" fontId="3" fillId="0" borderId="6" xfId="5" applyNumberFormat="1" applyFont="1" applyFill="1" applyBorder="1"/>
    <xf numFmtId="9" fontId="11" fillId="0" borderId="0" xfId="3" applyFont="1"/>
    <xf numFmtId="166" fontId="12" fillId="0" borderId="0" xfId="0" applyNumberFormat="1" applyFont="1"/>
    <xf numFmtId="166" fontId="9" fillId="0" borderId="0" xfId="0" applyNumberFormat="1" applyFont="1"/>
    <xf numFmtId="167" fontId="9" fillId="0" borderId="0" xfId="3" applyNumberFormat="1" applyFont="1"/>
    <xf numFmtId="9" fontId="9" fillId="0" borderId="0" xfId="3" applyFont="1"/>
    <xf numFmtId="165" fontId="0" fillId="0" borderId="0" xfId="0" applyNumberFormat="1"/>
    <xf numFmtId="9" fontId="10" fillId="8" borderId="8" xfId="3" applyFont="1" applyFill="1" applyBorder="1" applyAlignment="1">
      <alignment horizontal="center" vertical="center"/>
    </xf>
    <xf numFmtId="0" fontId="3" fillId="2" borderId="4" xfId="5" applyFont="1" applyFill="1" applyBorder="1"/>
    <xf numFmtId="0" fontId="3" fillId="2" borderId="5" xfId="5" applyFont="1" applyFill="1" applyBorder="1"/>
    <xf numFmtId="0" fontId="3" fillId="0" borderId="5" xfId="0" applyFont="1" applyBorder="1"/>
    <xf numFmtId="165" fontId="4" fillId="0" borderId="6" xfId="1" applyNumberFormat="1" applyFont="1" applyFill="1" applyBorder="1"/>
    <xf numFmtId="165" fontId="4" fillId="0" borderId="6" xfId="6" applyNumberFormat="1" applyFont="1" applyFill="1" applyBorder="1"/>
    <xf numFmtId="0" fontId="13" fillId="0" borderId="4" xfId="0" applyFont="1" applyBorder="1"/>
    <xf numFmtId="165" fontId="4" fillId="0" borderId="6" xfId="7" applyNumberFormat="1" applyFont="1" applyFill="1" applyBorder="1"/>
    <xf numFmtId="0" fontId="13" fillId="0" borderId="9" xfId="0" applyFont="1" applyBorder="1"/>
    <xf numFmtId="0" fontId="3" fillId="0" borderId="10" xfId="0" applyFont="1" applyBorder="1"/>
    <xf numFmtId="44" fontId="0" fillId="0" borderId="0" xfId="2" applyFont="1"/>
    <xf numFmtId="9" fontId="0" fillId="0" borderId="0" xfId="0" applyNumberFormat="1"/>
    <xf numFmtId="0" fontId="13" fillId="0" borderId="0" xfId="0" applyFont="1"/>
    <xf numFmtId="0" fontId="3" fillId="0" borderId="0" xfId="5" applyFont="1" applyFill="1" applyBorder="1"/>
    <xf numFmtId="165" fontId="4" fillId="0" borderId="11" xfId="1" applyNumberFormat="1" applyFont="1" applyFill="1" applyBorder="1"/>
    <xf numFmtId="0" fontId="14" fillId="0" borderId="0" xfId="0" applyFont="1" applyAlignment="1">
      <alignment vertical="center" wrapText="1"/>
    </xf>
    <xf numFmtId="44" fontId="14" fillId="0" borderId="0" xfId="2" applyFont="1" applyAlignment="1">
      <alignment vertical="center" wrapText="1"/>
    </xf>
    <xf numFmtId="9" fontId="14" fillId="0" borderId="0" xfId="0" applyNumberFormat="1" applyFont="1" applyAlignment="1">
      <alignment vertical="center" wrapText="1"/>
    </xf>
    <xf numFmtId="0" fontId="0" fillId="9" borderId="0" xfId="0" applyFill="1"/>
    <xf numFmtId="0" fontId="0" fillId="9" borderId="0" xfId="0" applyFill="1" applyAlignment="1">
      <alignment horizontal="left"/>
    </xf>
    <xf numFmtId="44" fontId="0" fillId="9" borderId="0" xfId="0" applyNumberFormat="1" applyFill="1"/>
    <xf numFmtId="0" fontId="0" fillId="0" borderId="0" xfId="0" applyNumberFormat="1"/>
  </cellXfs>
  <cellStyles count="8">
    <cellStyle name="Accent1" xfId="5" builtinId="29"/>
    <cellStyle name="Accent4" xfId="6" builtinId="41"/>
    <cellStyle name="Accent5" xfId="7" builtinId="45"/>
    <cellStyle name="Comma" xfId="1" builtinId="3"/>
    <cellStyle name="Currency" xfId="2" builtinId="4"/>
    <cellStyle name="Good" xfId="4" builtinId="26"/>
    <cellStyle name="Normal" xfId="0" builtinId="0"/>
    <cellStyle name="Percent" xfId="3" builtinId="5"/>
  </cellStyles>
  <dxfs count="93">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gradientFill degree="90">
          <stop position="0">
            <color theme="7" tint="0.59999389629810485"/>
          </stop>
          <stop position="1">
            <color theme="4"/>
          </stop>
        </gradient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dxf>
    <dxf>
      <font>
        <color rgb="FF9C0006"/>
      </font>
      <fill>
        <patternFill>
          <bgColor rgb="FFFFC7CE"/>
        </patternFill>
      </fill>
    </dxf>
    <dxf>
      <font>
        <strike/>
        <color theme="0" tint="-0.34998626667073579"/>
      </font>
    </dxf>
    <dxf>
      <font>
        <color theme="1"/>
      </font>
      <fill>
        <patternFill>
          <bgColor theme="9" tint="0.79998168889431442"/>
        </patternFill>
      </fill>
    </dxf>
    <dxf>
      <font>
        <color rgb="FF006100"/>
      </font>
      <fill>
        <patternFill>
          <bgColor rgb="FFC6EFCE"/>
        </patternFill>
      </fill>
    </dxf>
    <dxf>
      <fill>
        <patternFill>
          <bgColor rgb="FF00FF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[Book2_pivot.xlsx]Sheet4!PivotTable1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Sheet4!$B$3:$B$5</c:f>
              <c:strCache>
                <c:ptCount val="1"/>
                <c:pt idx="0">
                  <c:v>Sum of Amount - CROPS</c:v>
                </c:pt>
              </c:strCache>
            </c:strRef>
          </c:tx>
          <c:spPr>
            <a:solidFill>
              <a:schemeClr val="accent1"/>
            </a:solidFill>
            <a:ln>
              <a:noFill/>
            </a:ln>
            <a:effectLst/>
          </c:spPr>
          <c:invertIfNegative val="0"/>
          <c:cat>
            <c:strRef>
              <c:f>Sheet4!$A$6:$A$9</c:f>
              <c:strCache>
                <c:ptCount val="3"/>
                <c:pt idx="0">
                  <c:v>Canada</c:v>
                </c:pt>
                <c:pt idx="1">
                  <c:v>France</c:v>
                </c:pt>
                <c:pt idx="2">
                  <c:v>Germany</c:v>
                </c:pt>
              </c:strCache>
            </c:strRef>
          </c:cat>
          <c:val>
            <c:numRef>
              <c:f>Sheet4!$B$6:$B$9</c:f>
              <c:numCache>
                <c:formatCode>_("$"* #,##0.00_);_("$"* \(#,##0.00\);_("$"* "-"??_);_(@_)</c:formatCode>
                <c:ptCount val="3"/>
                <c:pt idx="0">
                  <c:v>14372</c:v>
                </c:pt>
                <c:pt idx="1">
                  <c:v>82661</c:v>
                </c:pt>
                <c:pt idx="2">
                  <c:v>101936</c:v>
                </c:pt>
              </c:numCache>
            </c:numRef>
          </c:val>
          <c:extLst>
            <c:ext xmlns:c16="http://schemas.microsoft.com/office/drawing/2014/chart" uri="{C3380CC4-5D6E-409C-BE32-E72D297353CC}">
              <c16:uniqueId val="{00000000-3FDF-4A6D-9305-5B00927CE897}"/>
            </c:ext>
          </c:extLst>
        </c:ser>
        <c:ser>
          <c:idx val="1"/>
          <c:order val="1"/>
          <c:tx>
            <c:strRef>
              <c:f>Sheet4!$C$3:$C$5</c:f>
              <c:strCache>
                <c:ptCount val="1"/>
                <c:pt idx="0">
                  <c:v>Sum of Amount - DRY FRUITS</c:v>
                </c:pt>
              </c:strCache>
            </c:strRef>
          </c:tx>
          <c:spPr>
            <a:solidFill>
              <a:schemeClr val="accent2"/>
            </a:solidFill>
            <a:ln>
              <a:noFill/>
            </a:ln>
            <a:effectLst/>
          </c:spPr>
          <c:invertIfNegative val="0"/>
          <c:cat>
            <c:strRef>
              <c:f>Sheet4!$A$6:$A$9</c:f>
              <c:strCache>
                <c:ptCount val="3"/>
                <c:pt idx="0">
                  <c:v>Canada</c:v>
                </c:pt>
                <c:pt idx="1">
                  <c:v>France</c:v>
                </c:pt>
                <c:pt idx="2">
                  <c:v>Germany</c:v>
                </c:pt>
              </c:strCache>
            </c:strRef>
          </c:cat>
          <c:val>
            <c:numRef>
              <c:f>Sheet4!$C$6:$C$9</c:f>
              <c:numCache>
                <c:formatCode>_("$"* #,##0.00_);_("$"* \(#,##0.00\);_("$"* "-"??_);_(@_)</c:formatCode>
                <c:ptCount val="3"/>
                <c:pt idx="0">
                  <c:v>27389</c:v>
                </c:pt>
                <c:pt idx="1">
                  <c:v>93289</c:v>
                </c:pt>
                <c:pt idx="2">
                  <c:v>24968</c:v>
                </c:pt>
              </c:numCache>
            </c:numRef>
          </c:val>
          <c:extLst>
            <c:ext xmlns:c16="http://schemas.microsoft.com/office/drawing/2014/chart" uri="{C3380CC4-5D6E-409C-BE32-E72D297353CC}">
              <c16:uniqueId val="{00000001-3FDF-4A6D-9305-5B00927CE897}"/>
            </c:ext>
          </c:extLst>
        </c:ser>
        <c:ser>
          <c:idx val="2"/>
          <c:order val="2"/>
          <c:tx>
            <c:strRef>
              <c:f>Sheet4!$D$3:$D$5</c:f>
              <c:strCache>
                <c:ptCount val="1"/>
                <c:pt idx="0">
                  <c:v>Sum of Amount - Fruit</c:v>
                </c:pt>
              </c:strCache>
            </c:strRef>
          </c:tx>
          <c:spPr>
            <a:solidFill>
              <a:schemeClr val="accent3"/>
            </a:solidFill>
            <a:ln>
              <a:noFill/>
            </a:ln>
            <a:effectLst/>
          </c:spPr>
          <c:invertIfNegative val="0"/>
          <c:cat>
            <c:strRef>
              <c:f>Sheet4!$A$6:$A$9</c:f>
              <c:strCache>
                <c:ptCount val="3"/>
                <c:pt idx="0">
                  <c:v>Canada</c:v>
                </c:pt>
                <c:pt idx="1">
                  <c:v>France</c:v>
                </c:pt>
                <c:pt idx="2">
                  <c:v>Germany</c:v>
                </c:pt>
              </c:strCache>
            </c:strRef>
          </c:cat>
          <c:val>
            <c:numRef>
              <c:f>Sheet4!$D$6:$D$9</c:f>
              <c:numCache>
                <c:formatCode>_("$"* #,##0.00_);_("$"* \(#,##0.00\);_("$"* "-"??_);_(@_)</c:formatCode>
                <c:ptCount val="3"/>
                <c:pt idx="0">
                  <c:v>37807</c:v>
                </c:pt>
                <c:pt idx="1">
                  <c:v>85327</c:v>
                </c:pt>
                <c:pt idx="2">
                  <c:v>107865</c:v>
                </c:pt>
              </c:numCache>
            </c:numRef>
          </c:val>
          <c:extLst>
            <c:ext xmlns:c16="http://schemas.microsoft.com/office/drawing/2014/chart" uri="{C3380CC4-5D6E-409C-BE32-E72D297353CC}">
              <c16:uniqueId val="{00000002-3FDF-4A6D-9305-5B00927CE897}"/>
            </c:ext>
          </c:extLst>
        </c:ser>
        <c:ser>
          <c:idx val="3"/>
          <c:order val="3"/>
          <c:tx>
            <c:strRef>
              <c:f>Sheet4!$E$3:$E$5</c:f>
              <c:strCache>
                <c:ptCount val="1"/>
                <c:pt idx="0">
                  <c:v>Sum of Amount - Vegetables</c:v>
                </c:pt>
              </c:strCache>
            </c:strRef>
          </c:tx>
          <c:spPr>
            <a:solidFill>
              <a:schemeClr val="accent4"/>
            </a:solidFill>
            <a:ln>
              <a:noFill/>
            </a:ln>
            <a:effectLst/>
          </c:spPr>
          <c:invertIfNegative val="0"/>
          <c:cat>
            <c:strRef>
              <c:f>Sheet4!$A$6:$A$9</c:f>
              <c:strCache>
                <c:ptCount val="3"/>
                <c:pt idx="0">
                  <c:v>Canada</c:v>
                </c:pt>
                <c:pt idx="1">
                  <c:v>France</c:v>
                </c:pt>
                <c:pt idx="2">
                  <c:v>Germany</c:v>
                </c:pt>
              </c:strCache>
            </c:strRef>
          </c:cat>
          <c:val>
            <c:numRef>
              <c:f>Sheet4!$E$6:$E$9</c:f>
              <c:numCache>
                <c:formatCode>_("$"* #,##0.00_);_("$"* \(#,##0.00\);_("$"* "-"??_);_(@_)</c:formatCode>
                <c:ptCount val="3"/>
                <c:pt idx="0">
                  <c:v>14469</c:v>
                </c:pt>
                <c:pt idx="1">
                  <c:v>135993</c:v>
                </c:pt>
                <c:pt idx="2">
                  <c:v>81927</c:v>
                </c:pt>
              </c:numCache>
            </c:numRef>
          </c:val>
          <c:extLst>
            <c:ext xmlns:c16="http://schemas.microsoft.com/office/drawing/2014/chart" uri="{C3380CC4-5D6E-409C-BE32-E72D297353CC}">
              <c16:uniqueId val="{00000003-3FDF-4A6D-9305-5B00927CE897}"/>
            </c:ext>
          </c:extLst>
        </c:ser>
        <c:ser>
          <c:idx val="4"/>
          <c:order val="4"/>
          <c:tx>
            <c:strRef>
              <c:f>Sheet4!$F$3:$F$5</c:f>
              <c:strCache>
                <c:ptCount val="1"/>
                <c:pt idx="0">
                  <c:v>Sum of TAX - CROPS</c:v>
                </c:pt>
              </c:strCache>
            </c:strRef>
          </c:tx>
          <c:spPr>
            <a:solidFill>
              <a:schemeClr val="accent5"/>
            </a:solidFill>
            <a:ln>
              <a:noFill/>
            </a:ln>
            <a:effectLst/>
          </c:spPr>
          <c:invertIfNegative val="0"/>
          <c:cat>
            <c:strRef>
              <c:f>Sheet4!$A$6:$A$9</c:f>
              <c:strCache>
                <c:ptCount val="3"/>
                <c:pt idx="0">
                  <c:v>Canada</c:v>
                </c:pt>
                <c:pt idx="1">
                  <c:v>France</c:v>
                </c:pt>
                <c:pt idx="2">
                  <c:v>Germany</c:v>
                </c:pt>
              </c:strCache>
            </c:strRef>
          </c:cat>
          <c:val>
            <c:numRef>
              <c:f>Sheet4!$F$6:$F$9</c:f>
              <c:numCache>
                <c:formatCode>General</c:formatCode>
                <c:ptCount val="3"/>
                <c:pt idx="0">
                  <c:v>1437.2</c:v>
                </c:pt>
                <c:pt idx="1">
                  <c:v>7060.9000000000005</c:v>
                </c:pt>
                <c:pt idx="2">
                  <c:v>8416.2999999999993</c:v>
                </c:pt>
              </c:numCache>
            </c:numRef>
          </c:val>
          <c:extLst>
            <c:ext xmlns:c16="http://schemas.microsoft.com/office/drawing/2014/chart" uri="{C3380CC4-5D6E-409C-BE32-E72D297353CC}">
              <c16:uniqueId val="{00000004-3FDF-4A6D-9305-5B00927CE897}"/>
            </c:ext>
          </c:extLst>
        </c:ser>
        <c:ser>
          <c:idx val="5"/>
          <c:order val="5"/>
          <c:tx>
            <c:strRef>
              <c:f>Sheet4!$G$3:$G$5</c:f>
              <c:strCache>
                <c:ptCount val="1"/>
                <c:pt idx="0">
                  <c:v>Sum of TAX - DRY FRUITS</c:v>
                </c:pt>
              </c:strCache>
            </c:strRef>
          </c:tx>
          <c:spPr>
            <a:solidFill>
              <a:schemeClr val="accent6"/>
            </a:solidFill>
            <a:ln>
              <a:noFill/>
            </a:ln>
            <a:effectLst/>
          </c:spPr>
          <c:invertIfNegative val="0"/>
          <c:cat>
            <c:strRef>
              <c:f>Sheet4!$A$6:$A$9</c:f>
              <c:strCache>
                <c:ptCount val="3"/>
                <c:pt idx="0">
                  <c:v>Canada</c:v>
                </c:pt>
                <c:pt idx="1">
                  <c:v>France</c:v>
                </c:pt>
                <c:pt idx="2">
                  <c:v>Germany</c:v>
                </c:pt>
              </c:strCache>
            </c:strRef>
          </c:cat>
          <c:val>
            <c:numRef>
              <c:f>Sheet4!$G$6:$G$9</c:f>
              <c:numCache>
                <c:formatCode>General</c:formatCode>
                <c:ptCount val="3"/>
                <c:pt idx="0">
                  <c:v>2362.1999999999998</c:v>
                </c:pt>
                <c:pt idx="1">
                  <c:v>7639.8000000000011</c:v>
                </c:pt>
                <c:pt idx="2">
                  <c:v>2082.9</c:v>
                </c:pt>
              </c:numCache>
            </c:numRef>
          </c:val>
          <c:extLst>
            <c:ext xmlns:c16="http://schemas.microsoft.com/office/drawing/2014/chart" uri="{C3380CC4-5D6E-409C-BE32-E72D297353CC}">
              <c16:uniqueId val="{00000005-3FDF-4A6D-9305-5B00927CE897}"/>
            </c:ext>
          </c:extLst>
        </c:ser>
        <c:ser>
          <c:idx val="6"/>
          <c:order val="6"/>
          <c:tx>
            <c:strRef>
              <c:f>Sheet4!$H$3:$H$5</c:f>
              <c:strCache>
                <c:ptCount val="1"/>
                <c:pt idx="0">
                  <c:v>Sum of TAX - Fruit</c:v>
                </c:pt>
              </c:strCache>
            </c:strRef>
          </c:tx>
          <c:spPr>
            <a:solidFill>
              <a:schemeClr val="accent1">
                <a:lumMod val="60000"/>
              </a:schemeClr>
            </a:solidFill>
            <a:ln>
              <a:noFill/>
            </a:ln>
            <a:effectLst/>
          </c:spPr>
          <c:invertIfNegative val="0"/>
          <c:cat>
            <c:strRef>
              <c:f>Sheet4!$A$6:$A$9</c:f>
              <c:strCache>
                <c:ptCount val="3"/>
                <c:pt idx="0">
                  <c:v>Canada</c:v>
                </c:pt>
                <c:pt idx="1">
                  <c:v>France</c:v>
                </c:pt>
                <c:pt idx="2">
                  <c:v>Germany</c:v>
                </c:pt>
              </c:strCache>
            </c:strRef>
          </c:cat>
          <c:val>
            <c:numRef>
              <c:f>Sheet4!$H$6:$H$9</c:f>
              <c:numCache>
                <c:formatCode>General</c:formatCode>
                <c:ptCount val="3"/>
                <c:pt idx="0">
                  <c:v>2481.5</c:v>
                </c:pt>
                <c:pt idx="1">
                  <c:v>8183.4000000000005</c:v>
                </c:pt>
                <c:pt idx="2">
                  <c:v>10248.350000000002</c:v>
                </c:pt>
              </c:numCache>
            </c:numRef>
          </c:val>
          <c:extLst>
            <c:ext xmlns:c16="http://schemas.microsoft.com/office/drawing/2014/chart" uri="{C3380CC4-5D6E-409C-BE32-E72D297353CC}">
              <c16:uniqueId val="{00000006-3FDF-4A6D-9305-5B00927CE897}"/>
            </c:ext>
          </c:extLst>
        </c:ser>
        <c:ser>
          <c:idx val="7"/>
          <c:order val="7"/>
          <c:tx>
            <c:strRef>
              <c:f>Sheet4!$I$3:$I$5</c:f>
              <c:strCache>
                <c:ptCount val="1"/>
                <c:pt idx="0">
                  <c:v>Sum of TAX - Vegetables</c:v>
                </c:pt>
              </c:strCache>
            </c:strRef>
          </c:tx>
          <c:spPr>
            <a:solidFill>
              <a:schemeClr val="accent2">
                <a:lumMod val="60000"/>
              </a:schemeClr>
            </a:solidFill>
            <a:ln>
              <a:noFill/>
            </a:ln>
            <a:effectLst/>
          </c:spPr>
          <c:invertIfNegative val="0"/>
          <c:cat>
            <c:strRef>
              <c:f>Sheet4!$A$6:$A$9</c:f>
              <c:strCache>
                <c:ptCount val="3"/>
                <c:pt idx="0">
                  <c:v>Canada</c:v>
                </c:pt>
                <c:pt idx="1">
                  <c:v>France</c:v>
                </c:pt>
                <c:pt idx="2">
                  <c:v>Germany</c:v>
                </c:pt>
              </c:strCache>
            </c:strRef>
          </c:cat>
          <c:val>
            <c:numRef>
              <c:f>Sheet4!$I$6:$I$9</c:f>
              <c:numCache>
                <c:formatCode>General</c:formatCode>
                <c:ptCount val="3"/>
                <c:pt idx="0">
                  <c:v>733.30000000000007</c:v>
                </c:pt>
                <c:pt idx="1">
                  <c:v>12880.9</c:v>
                </c:pt>
                <c:pt idx="2">
                  <c:v>6156.9</c:v>
                </c:pt>
              </c:numCache>
            </c:numRef>
          </c:val>
          <c:extLst>
            <c:ext xmlns:c16="http://schemas.microsoft.com/office/drawing/2014/chart" uri="{C3380CC4-5D6E-409C-BE32-E72D297353CC}">
              <c16:uniqueId val="{00000007-3FDF-4A6D-9305-5B00927CE897}"/>
            </c:ext>
          </c:extLst>
        </c:ser>
        <c:dLbls>
          <c:showLegendKey val="0"/>
          <c:showVal val="0"/>
          <c:showCatName val="0"/>
          <c:showSerName val="0"/>
          <c:showPercent val="0"/>
          <c:showBubbleSize val="0"/>
        </c:dLbls>
        <c:gapWidth val="219"/>
        <c:overlap val="-27"/>
        <c:axId val="1958472736"/>
        <c:axId val="1958419936"/>
      </c:barChart>
      <c:catAx>
        <c:axId val="195847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419936"/>
        <c:crosses val="autoZero"/>
        <c:auto val="1"/>
        <c:lblAlgn val="ctr"/>
        <c:lblOffset val="100"/>
        <c:noMultiLvlLbl val="0"/>
      </c:catAx>
      <c:valAx>
        <c:axId val="1958419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47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[Book2_pivot.xlsx]Sheet4!PivotTable2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Sheet4!$B$19:$B$21</c:f>
              <c:strCache>
                <c:ptCount val="1"/>
                <c:pt idx="0">
                  <c:v>Sum of Amount - Australia</c:v>
                </c:pt>
              </c:strCache>
            </c:strRef>
          </c:tx>
          <c:spPr>
            <a:solidFill>
              <a:schemeClr val="accent1"/>
            </a:solidFill>
            <a:ln>
              <a:noFill/>
            </a:ln>
            <a:effectLst/>
          </c:spPr>
          <c:invertIfNegative val="0"/>
          <c:cat>
            <c:strRef>
              <c:f>Sheet4!$A$22:$A$26</c:f>
              <c:strCache>
                <c:ptCount val="4"/>
                <c:pt idx="0">
                  <c:v>CROPS</c:v>
                </c:pt>
                <c:pt idx="1">
                  <c:v>DRY FRUITS</c:v>
                </c:pt>
                <c:pt idx="2">
                  <c:v>Fruit</c:v>
                </c:pt>
                <c:pt idx="3">
                  <c:v>Vegetables</c:v>
                </c:pt>
              </c:strCache>
            </c:strRef>
          </c:cat>
          <c:val>
            <c:numRef>
              <c:f>Sheet4!$B$22:$B$26</c:f>
              <c:numCache>
                <c:formatCode>_("$"* #,##0.00_);_("$"* \(#,##0.00\);_("$"* "-"??_);_(@_)</c:formatCode>
                <c:ptCount val="4"/>
                <c:pt idx="0">
                  <c:v>5015</c:v>
                </c:pt>
                <c:pt idx="1">
                  <c:v>84139</c:v>
                </c:pt>
                <c:pt idx="2">
                  <c:v>172644</c:v>
                </c:pt>
                <c:pt idx="3">
                  <c:v>152844</c:v>
                </c:pt>
              </c:numCache>
            </c:numRef>
          </c:val>
          <c:extLst>
            <c:ext xmlns:c16="http://schemas.microsoft.com/office/drawing/2014/chart" uri="{C3380CC4-5D6E-409C-BE32-E72D297353CC}">
              <c16:uniqueId val="{00000000-33E8-429F-BAC8-F85548C74226}"/>
            </c:ext>
          </c:extLst>
        </c:ser>
        <c:ser>
          <c:idx val="1"/>
          <c:order val="1"/>
          <c:tx>
            <c:strRef>
              <c:f>Sheet4!$C$19:$C$21</c:f>
              <c:strCache>
                <c:ptCount val="1"/>
                <c:pt idx="0">
                  <c:v>Sum of Amount - Canada</c:v>
                </c:pt>
              </c:strCache>
            </c:strRef>
          </c:tx>
          <c:spPr>
            <a:solidFill>
              <a:schemeClr val="accent2"/>
            </a:solidFill>
            <a:ln>
              <a:noFill/>
            </a:ln>
            <a:effectLst/>
          </c:spPr>
          <c:invertIfNegative val="0"/>
          <c:cat>
            <c:strRef>
              <c:f>Sheet4!$A$22:$A$26</c:f>
              <c:strCache>
                <c:ptCount val="4"/>
                <c:pt idx="0">
                  <c:v>CROPS</c:v>
                </c:pt>
                <c:pt idx="1">
                  <c:v>DRY FRUITS</c:v>
                </c:pt>
                <c:pt idx="2">
                  <c:v>Fruit</c:v>
                </c:pt>
                <c:pt idx="3">
                  <c:v>Vegetables</c:v>
                </c:pt>
              </c:strCache>
            </c:strRef>
          </c:cat>
          <c:val>
            <c:numRef>
              <c:f>Sheet4!$C$22:$C$26</c:f>
              <c:numCache>
                <c:formatCode>_("$"* #,##0.00_);_("$"* \(#,##0.00\);_("$"* "-"??_);_(@_)</c:formatCode>
                <c:ptCount val="4"/>
                <c:pt idx="0">
                  <c:v>14372</c:v>
                </c:pt>
                <c:pt idx="1">
                  <c:v>27389</c:v>
                </c:pt>
                <c:pt idx="2">
                  <c:v>37807</c:v>
                </c:pt>
                <c:pt idx="3">
                  <c:v>14469</c:v>
                </c:pt>
              </c:numCache>
            </c:numRef>
          </c:val>
          <c:extLst>
            <c:ext xmlns:c16="http://schemas.microsoft.com/office/drawing/2014/chart" uri="{C3380CC4-5D6E-409C-BE32-E72D297353CC}">
              <c16:uniqueId val="{00000001-33E8-429F-BAC8-F85548C74226}"/>
            </c:ext>
          </c:extLst>
        </c:ser>
        <c:ser>
          <c:idx val="2"/>
          <c:order val="2"/>
          <c:tx>
            <c:strRef>
              <c:f>Sheet4!$D$19:$D$21</c:f>
              <c:strCache>
                <c:ptCount val="1"/>
                <c:pt idx="0">
                  <c:v>Sum of Amount - France</c:v>
                </c:pt>
              </c:strCache>
            </c:strRef>
          </c:tx>
          <c:spPr>
            <a:solidFill>
              <a:schemeClr val="accent3"/>
            </a:solidFill>
            <a:ln>
              <a:noFill/>
            </a:ln>
            <a:effectLst/>
          </c:spPr>
          <c:invertIfNegative val="0"/>
          <c:cat>
            <c:strRef>
              <c:f>Sheet4!$A$22:$A$26</c:f>
              <c:strCache>
                <c:ptCount val="4"/>
                <c:pt idx="0">
                  <c:v>CROPS</c:v>
                </c:pt>
                <c:pt idx="1">
                  <c:v>DRY FRUITS</c:v>
                </c:pt>
                <c:pt idx="2">
                  <c:v>Fruit</c:v>
                </c:pt>
                <c:pt idx="3">
                  <c:v>Vegetables</c:v>
                </c:pt>
              </c:strCache>
            </c:strRef>
          </c:cat>
          <c:val>
            <c:numRef>
              <c:f>Sheet4!$D$22:$D$26</c:f>
              <c:numCache>
                <c:formatCode>_("$"* #,##0.00_);_("$"* \(#,##0.00\);_("$"* "-"??_);_(@_)</c:formatCode>
                <c:ptCount val="4"/>
                <c:pt idx="0">
                  <c:v>82661</c:v>
                </c:pt>
                <c:pt idx="1">
                  <c:v>93289</c:v>
                </c:pt>
                <c:pt idx="2">
                  <c:v>85327</c:v>
                </c:pt>
                <c:pt idx="3">
                  <c:v>135993</c:v>
                </c:pt>
              </c:numCache>
            </c:numRef>
          </c:val>
          <c:extLst>
            <c:ext xmlns:c16="http://schemas.microsoft.com/office/drawing/2014/chart" uri="{C3380CC4-5D6E-409C-BE32-E72D297353CC}">
              <c16:uniqueId val="{00000002-33E8-429F-BAC8-F85548C74226}"/>
            </c:ext>
          </c:extLst>
        </c:ser>
        <c:ser>
          <c:idx val="3"/>
          <c:order val="3"/>
          <c:tx>
            <c:strRef>
              <c:f>Sheet4!$E$19:$E$21</c:f>
              <c:strCache>
                <c:ptCount val="1"/>
                <c:pt idx="0">
                  <c:v>Sum of Amount - Germany</c:v>
                </c:pt>
              </c:strCache>
            </c:strRef>
          </c:tx>
          <c:spPr>
            <a:solidFill>
              <a:schemeClr val="accent4"/>
            </a:solidFill>
            <a:ln>
              <a:noFill/>
            </a:ln>
            <a:effectLst/>
          </c:spPr>
          <c:invertIfNegative val="0"/>
          <c:cat>
            <c:strRef>
              <c:f>Sheet4!$A$22:$A$26</c:f>
              <c:strCache>
                <c:ptCount val="4"/>
                <c:pt idx="0">
                  <c:v>CROPS</c:v>
                </c:pt>
                <c:pt idx="1">
                  <c:v>DRY FRUITS</c:v>
                </c:pt>
                <c:pt idx="2">
                  <c:v>Fruit</c:v>
                </c:pt>
                <c:pt idx="3">
                  <c:v>Vegetables</c:v>
                </c:pt>
              </c:strCache>
            </c:strRef>
          </c:cat>
          <c:val>
            <c:numRef>
              <c:f>Sheet4!$E$22:$E$26</c:f>
              <c:numCache>
                <c:formatCode>_("$"* #,##0.00_);_("$"* \(#,##0.00\);_("$"* "-"??_);_(@_)</c:formatCode>
                <c:ptCount val="4"/>
                <c:pt idx="0">
                  <c:v>101936</c:v>
                </c:pt>
                <c:pt idx="1">
                  <c:v>24968</c:v>
                </c:pt>
                <c:pt idx="2">
                  <c:v>107865</c:v>
                </c:pt>
                <c:pt idx="3">
                  <c:v>81927</c:v>
                </c:pt>
              </c:numCache>
            </c:numRef>
          </c:val>
          <c:extLst>
            <c:ext xmlns:c16="http://schemas.microsoft.com/office/drawing/2014/chart" uri="{C3380CC4-5D6E-409C-BE32-E72D297353CC}">
              <c16:uniqueId val="{00000003-33E8-429F-BAC8-F85548C74226}"/>
            </c:ext>
          </c:extLst>
        </c:ser>
        <c:ser>
          <c:idx val="4"/>
          <c:order val="4"/>
          <c:tx>
            <c:strRef>
              <c:f>Sheet4!$F$19:$F$21</c:f>
              <c:strCache>
                <c:ptCount val="1"/>
                <c:pt idx="0">
                  <c:v>Sum of Amount - New Zealand</c:v>
                </c:pt>
              </c:strCache>
            </c:strRef>
          </c:tx>
          <c:spPr>
            <a:solidFill>
              <a:schemeClr val="accent5"/>
            </a:solidFill>
            <a:ln>
              <a:noFill/>
            </a:ln>
            <a:effectLst/>
          </c:spPr>
          <c:invertIfNegative val="0"/>
          <c:cat>
            <c:strRef>
              <c:f>Sheet4!$A$22:$A$26</c:f>
              <c:strCache>
                <c:ptCount val="4"/>
                <c:pt idx="0">
                  <c:v>CROPS</c:v>
                </c:pt>
                <c:pt idx="1">
                  <c:v>DRY FRUITS</c:v>
                </c:pt>
                <c:pt idx="2">
                  <c:v>Fruit</c:v>
                </c:pt>
                <c:pt idx="3">
                  <c:v>Vegetables</c:v>
                </c:pt>
              </c:strCache>
            </c:strRef>
          </c:cat>
          <c:val>
            <c:numRef>
              <c:f>Sheet4!$F$22:$F$26</c:f>
              <c:numCache>
                <c:formatCode>_("$"* #,##0.00_);_("$"* \(#,##0.00\);_("$"* "-"??_);_(@_)</c:formatCode>
                <c:ptCount val="4"/>
                <c:pt idx="0">
                  <c:v>72179</c:v>
                </c:pt>
                <c:pt idx="1">
                  <c:v>62339</c:v>
                </c:pt>
                <c:pt idx="2">
                  <c:v>21165</c:v>
                </c:pt>
                <c:pt idx="3">
                  <c:v>60720</c:v>
                </c:pt>
              </c:numCache>
            </c:numRef>
          </c:val>
          <c:extLst>
            <c:ext xmlns:c16="http://schemas.microsoft.com/office/drawing/2014/chart" uri="{C3380CC4-5D6E-409C-BE32-E72D297353CC}">
              <c16:uniqueId val="{00000004-33E8-429F-BAC8-F85548C74226}"/>
            </c:ext>
          </c:extLst>
        </c:ser>
        <c:ser>
          <c:idx val="5"/>
          <c:order val="5"/>
          <c:tx>
            <c:strRef>
              <c:f>Sheet4!$G$19:$G$21</c:f>
              <c:strCache>
                <c:ptCount val="1"/>
                <c:pt idx="0">
                  <c:v>Sum of Amount - United Kingdom</c:v>
                </c:pt>
              </c:strCache>
            </c:strRef>
          </c:tx>
          <c:spPr>
            <a:solidFill>
              <a:schemeClr val="accent6"/>
            </a:solidFill>
            <a:ln>
              <a:noFill/>
            </a:ln>
            <a:effectLst/>
          </c:spPr>
          <c:invertIfNegative val="0"/>
          <c:cat>
            <c:strRef>
              <c:f>Sheet4!$A$22:$A$26</c:f>
              <c:strCache>
                <c:ptCount val="4"/>
                <c:pt idx="0">
                  <c:v>CROPS</c:v>
                </c:pt>
                <c:pt idx="1">
                  <c:v>DRY FRUITS</c:v>
                </c:pt>
                <c:pt idx="2">
                  <c:v>Fruit</c:v>
                </c:pt>
                <c:pt idx="3">
                  <c:v>Vegetables</c:v>
                </c:pt>
              </c:strCache>
            </c:strRef>
          </c:cat>
          <c:val>
            <c:numRef>
              <c:f>Sheet4!$G$22:$G$26</c:f>
              <c:numCache>
                <c:formatCode>_("$"* #,##0.00_);_("$"* \(#,##0.00\);_("$"* "-"??_);_(@_)</c:formatCode>
                <c:ptCount val="4"/>
                <c:pt idx="0">
                  <c:v>12917</c:v>
                </c:pt>
                <c:pt idx="1">
                  <c:v>22147</c:v>
                </c:pt>
                <c:pt idx="2">
                  <c:v>61898</c:v>
                </c:pt>
                <c:pt idx="3">
                  <c:v>79675</c:v>
                </c:pt>
              </c:numCache>
            </c:numRef>
          </c:val>
          <c:extLst>
            <c:ext xmlns:c16="http://schemas.microsoft.com/office/drawing/2014/chart" uri="{C3380CC4-5D6E-409C-BE32-E72D297353CC}">
              <c16:uniqueId val="{00000005-33E8-429F-BAC8-F85548C74226}"/>
            </c:ext>
          </c:extLst>
        </c:ser>
        <c:ser>
          <c:idx val="6"/>
          <c:order val="6"/>
          <c:tx>
            <c:strRef>
              <c:f>Sheet4!$H$19:$H$21</c:f>
              <c:strCache>
                <c:ptCount val="1"/>
                <c:pt idx="0">
                  <c:v>Sum of Amount - United States</c:v>
                </c:pt>
              </c:strCache>
            </c:strRef>
          </c:tx>
          <c:spPr>
            <a:solidFill>
              <a:schemeClr val="accent1">
                <a:lumMod val="6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Sheet4!$H$22:$H$26</c:f>
              <c:numCache>
                <c:formatCode>_("$"* #,##0.00_);_("$"* \(#,##0.00\);_("$"* "-"??_);_(@_)</c:formatCode>
                <c:ptCount val="4"/>
                <c:pt idx="0">
                  <c:v>66020</c:v>
                </c:pt>
                <c:pt idx="1">
                  <c:v>48990</c:v>
                </c:pt>
                <c:pt idx="2">
                  <c:v>246020</c:v>
                </c:pt>
                <c:pt idx="3">
                  <c:v>202780</c:v>
                </c:pt>
              </c:numCache>
            </c:numRef>
          </c:val>
          <c:extLst>
            <c:ext xmlns:c16="http://schemas.microsoft.com/office/drawing/2014/chart" uri="{C3380CC4-5D6E-409C-BE32-E72D297353CC}">
              <c16:uniqueId val="{00000006-33E8-429F-BAC8-F85548C74226}"/>
            </c:ext>
          </c:extLst>
        </c:ser>
        <c:ser>
          <c:idx val="7"/>
          <c:order val="7"/>
          <c:tx>
            <c:strRef>
              <c:f>Sheet4!$I$19:$I$21</c:f>
              <c:strCache>
                <c:ptCount val="1"/>
                <c:pt idx="0">
                  <c:v>Sum of TAX - Australia</c:v>
                </c:pt>
              </c:strCache>
            </c:strRef>
          </c:tx>
          <c:spPr>
            <a:solidFill>
              <a:schemeClr val="accent2">
                <a:lumMod val="6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Sheet4!$I$22:$I$26</c:f>
              <c:numCache>
                <c:formatCode>General</c:formatCode>
                <c:ptCount val="4"/>
                <c:pt idx="0">
                  <c:v>501.5</c:v>
                </c:pt>
                <c:pt idx="1">
                  <c:v>7701.3000000000011</c:v>
                </c:pt>
                <c:pt idx="2">
                  <c:v>15615.499999999998</c:v>
                </c:pt>
                <c:pt idx="3">
                  <c:v>13780.5</c:v>
                </c:pt>
              </c:numCache>
            </c:numRef>
          </c:val>
          <c:extLst>
            <c:ext xmlns:c16="http://schemas.microsoft.com/office/drawing/2014/chart" uri="{C3380CC4-5D6E-409C-BE32-E72D297353CC}">
              <c16:uniqueId val="{00000007-33E8-429F-BAC8-F85548C74226}"/>
            </c:ext>
          </c:extLst>
        </c:ser>
        <c:ser>
          <c:idx val="8"/>
          <c:order val="8"/>
          <c:tx>
            <c:strRef>
              <c:f>Sheet4!$J$19:$J$21</c:f>
              <c:strCache>
                <c:ptCount val="1"/>
                <c:pt idx="0">
                  <c:v>Sum of TAX - Canada</c:v>
                </c:pt>
              </c:strCache>
            </c:strRef>
          </c:tx>
          <c:spPr>
            <a:solidFill>
              <a:schemeClr val="accent3">
                <a:lumMod val="6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Sheet4!$J$22:$J$26</c:f>
              <c:numCache>
                <c:formatCode>General</c:formatCode>
                <c:ptCount val="4"/>
                <c:pt idx="0">
                  <c:v>1437.2</c:v>
                </c:pt>
                <c:pt idx="1">
                  <c:v>2362.1999999999998</c:v>
                </c:pt>
                <c:pt idx="2">
                  <c:v>2481.5</c:v>
                </c:pt>
                <c:pt idx="3">
                  <c:v>733.30000000000007</c:v>
                </c:pt>
              </c:numCache>
            </c:numRef>
          </c:val>
          <c:extLst>
            <c:ext xmlns:c16="http://schemas.microsoft.com/office/drawing/2014/chart" uri="{C3380CC4-5D6E-409C-BE32-E72D297353CC}">
              <c16:uniqueId val="{00000008-33E8-429F-BAC8-F85548C74226}"/>
            </c:ext>
          </c:extLst>
        </c:ser>
        <c:ser>
          <c:idx val="9"/>
          <c:order val="9"/>
          <c:tx>
            <c:strRef>
              <c:f>Sheet4!$K$19:$K$21</c:f>
              <c:strCache>
                <c:ptCount val="1"/>
                <c:pt idx="0">
                  <c:v>Sum of TAX - France</c:v>
                </c:pt>
              </c:strCache>
            </c:strRef>
          </c:tx>
          <c:spPr>
            <a:solidFill>
              <a:schemeClr val="accent4">
                <a:lumMod val="6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Sheet4!$K$22:$K$26</c:f>
              <c:numCache>
                <c:formatCode>General</c:formatCode>
                <c:ptCount val="4"/>
                <c:pt idx="0">
                  <c:v>7060.9</c:v>
                </c:pt>
                <c:pt idx="1">
                  <c:v>7639.8</c:v>
                </c:pt>
                <c:pt idx="2">
                  <c:v>8183.4000000000005</c:v>
                </c:pt>
                <c:pt idx="3">
                  <c:v>12880.900000000001</c:v>
                </c:pt>
              </c:numCache>
            </c:numRef>
          </c:val>
          <c:extLst>
            <c:ext xmlns:c16="http://schemas.microsoft.com/office/drawing/2014/chart" uri="{C3380CC4-5D6E-409C-BE32-E72D297353CC}">
              <c16:uniqueId val="{00000009-33E8-429F-BAC8-F85548C74226}"/>
            </c:ext>
          </c:extLst>
        </c:ser>
        <c:ser>
          <c:idx val="10"/>
          <c:order val="10"/>
          <c:tx>
            <c:strRef>
              <c:f>Sheet4!$L$19:$L$21</c:f>
              <c:strCache>
                <c:ptCount val="1"/>
                <c:pt idx="0">
                  <c:v>Sum of TAX - Germany</c:v>
                </c:pt>
              </c:strCache>
            </c:strRef>
          </c:tx>
          <c:spPr>
            <a:solidFill>
              <a:schemeClr val="accent5">
                <a:lumMod val="6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Sheet4!$L$22:$L$26</c:f>
              <c:numCache>
                <c:formatCode>General</c:formatCode>
                <c:ptCount val="4"/>
                <c:pt idx="0">
                  <c:v>8416.3000000000011</c:v>
                </c:pt>
                <c:pt idx="1">
                  <c:v>2082.9</c:v>
                </c:pt>
                <c:pt idx="2">
                  <c:v>10248.35</c:v>
                </c:pt>
                <c:pt idx="3">
                  <c:v>6156.9000000000005</c:v>
                </c:pt>
              </c:numCache>
            </c:numRef>
          </c:val>
          <c:extLst>
            <c:ext xmlns:c16="http://schemas.microsoft.com/office/drawing/2014/chart" uri="{C3380CC4-5D6E-409C-BE32-E72D297353CC}">
              <c16:uniqueId val="{0000000A-33E8-429F-BAC8-F85548C74226}"/>
            </c:ext>
          </c:extLst>
        </c:ser>
        <c:ser>
          <c:idx val="11"/>
          <c:order val="11"/>
          <c:tx>
            <c:strRef>
              <c:f>Sheet4!$M$19:$M$21</c:f>
              <c:strCache>
                <c:ptCount val="1"/>
                <c:pt idx="0">
                  <c:v>Sum of TAX - New Zealand</c:v>
                </c:pt>
              </c:strCache>
            </c:strRef>
          </c:tx>
          <c:spPr>
            <a:solidFill>
              <a:schemeClr val="accent6">
                <a:lumMod val="6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Sheet4!$M$22:$M$26</c:f>
              <c:numCache>
                <c:formatCode>General</c:formatCode>
                <c:ptCount val="4"/>
                <c:pt idx="0">
                  <c:v>5992</c:v>
                </c:pt>
                <c:pt idx="1">
                  <c:v>5557.1</c:v>
                </c:pt>
                <c:pt idx="2">
                  <c:v>2011.1000000000001</c:v>
                </c:pt>
                <c:pt idx="3">
                  <c:v>4712.6000000000004</c:v>
                </c:pt>
              </c:numCache>
            </c:numRef>
          </c:val>
          <c:extLst>
            <c:ext xmlns:c16="http://schemas.microsoft.com/office/drawing/2014/chart" uri="{C3380CC4-5D6E-409C-BE32-E72D297353CC}">
              <c16:uniqueId val="{0000000B-33E8-429F-BAC8-F85548C74226}"/>
            </c:ext>
          </c:extLst>
        </c:ser>
        <c:ser>
          <c:idx val="12"/>
          <c:order val="12"/>
          <c:tx>
            <c:strRef>
              <c:f>Sheet4!$N$19:$N$21</c:f>
              <c:strCache>
                <c:ptCount val="1"/>
                <c:pt idx="0">
                  <c:v>Sum of TAX - United Kingdom</c:v>
                </c:pt>
              </c:strCache>
            </c:strRef>
          </c:tx>
          <c:spPr>
            <a:solidFill>
              <a:schemeClr val="accent1">
                <a:lumMod val="80000"/>
                <a:lumOff val="2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Sheet4!$N$22:$N$26</c:f>
              <c:numCache>
                <c:formatCode>General</c:formatCode>
                <c:ptCount val="4"/>
                <c:pt idx="0">
                  <c:v>1269.7</c:v>
                </c:pt>
                <c:pt idx="1">
                  <c:v>911.6</c:v>
                </c:pt>
                <c:pt idx="2">
                  <c:v>5664.2000000000007</c:v>
                </c:pt>
                <c:pt idx="3">
                  <c:v>6401.4000000000015</c:v>
                </c:pt>
              </c:numCache>
            </c:numRef>
          </c:val>
          <c:extLst>
            <c:ext xmlns:c16="http://schemas.microsoft.com/office/drawing/2014/chart" uri="{C3380CC4-5D6E-409C-BE32-E72D297353CC}">
              <c16:uniqueId val="{0000000C-33E8-429F-BAC8-F85548C74226}"/>
            </c:ext>
          </c:extLst>
        </c:ser>
        <c:ser>
          <c:idx val="13"/>
          <c:order val="13"/>
          <c:tx>
            <c:strRef>
              <c:f>Sheet4!$O$19:$O$21</c:f>
              <c:strCache>
                <c:ptCount val="1"/>
                <c:pt idx="0">
                  <c:v>Sum of TAX - United States</c:v>
                </c:pt>
              </c:strCache>
            </c:strRef>
          </c:tx>
          <c:spPr>
            <a:solidFill>
              <a:schemeClr val="accent2">
                <a:lumMod val="80000"/>
                <a:lumOff val="20000"/>
              </a:schemeClr>
            </a:solidFill>
            <a:ln>
              <a:noFill/>
            </a:ln>
            <a:effectLst/>
          </c:spPr>
          <c:invertIfNegative val="0"/>
          <c:cat>
            <c:strRef>
              <c:f>Sheet4!$A$22:$A$26</c:f>
              <c:strCache>
                <c:ptCount val="4"/>
                <c:pt idx="0">
                  <c:v>CROPS</c:v>
                </c:pt>
                <c:pt idx="1">
                  <c:v>DRY FRUITS</c:v>
                </c:pt>
                <c:pt idx="2">
                  <c:v>Fruit</c:v>
                </c:pt>
                <c:pt idx="3">
                  <c:v>Vegetables</c:v>
                </c:pt>
              </c:strCache>
            </c:strRef>
          </c:cat>
          <c:val>
            <c:numRef>
              <c:f>Sheet4!$O$22:$O$26</c:f>
              <c:numCache>
                <c:formatCode>General</c:formatCode>
                <c:ptCount val="4"/>
                <c:pt idx="0">
                  <c:v>4426.7000000000007</c:v>
                </c:pt>
                <c:pt idx="1">
                  <c:v>3831.2000000000003</c:v>
                </c:pt>
                <c:pt idx="2">
                  <c:v>21880.7</c:v>
                </c:pt>
                <c:pt idx="3">
                  <c:v>16941.650000000001</c:v>
                </c:pt>
              </c:numCache>
            </c:numRef>
          </c:val>
          <c:extLst>
            <c:ext xmlns:c16="http://schemas.microsoft.com/office/drawing/2014/chart" uri="{C3380CC4-5D6E-409C-BE32-E72D297353CC}">
              <c16:uniqueId val="{0000000D-33E8-429F-BAC8-F85548C74226}"/>
            </c:ext>
          </c:extLst>
        </c:ser>
        <c:dLbls>
          <c:showLegendKey val="0"/>
          <c:showVal val="0"/>
          <c:showCatName val="0"/>
          <c:showSerName val="0"/>
          <c:showPercent val="0"/>
          <c:showBubbleSize val="0"/>
        </c:dLbls>
        <c:gapWidth val="219"/>
        <c:overlap val="-27"/>
        <c:axId val="1958420416"/>
        <c:axId val="1958428576"/>
      </c:barChart>
      <c:catAx>
        <c:axId val="195842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428576"/>
        <c:crosses val="autoZero"/>
        <c:auto val="1"/>
        <c:lblAlgn val="ctr"/>
        <c:lblOffset val="100"/>
        <c:noMultiLvlLbl val="0"/>
      </c:catAx>
      <c:valAx>
        <c:axId val="19584285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42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[Book2_pivot.xlsx]Sheet1!PivotTable2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Sheet1!$B$16:$B$17</c:f>
              <c:strCache>
                <c:ptCount val="1"/>
                <c:pt idx="0">
                  <c:v>Australia</c:v>
                </c:pt>
              </c:strCache>
            </c:strRef>
          </c:tx>
          <c:spPr>
            <a:solidFill>
              <a:schemeClr val="accent1"/>
            </a:solidFill>
            <a:ln>
              <a:noFill/>
            </a:ln>
            <a:effectLst/>
          </c:spPr>
          <c:invertIfNegative val="0"/>
          <c:cat>
            <c:strRef>
              <c:f>Sheet1!$A$18:$A$22</c:f>
              <c:strCache>
                <c:ptCount val="4"/>
                <c:pt idx="0">
                  <c:v>CROPS</c:v>
                </c:pt>
                <c:pt idx="1">
                  <c:v>DRY FRUITS</c:v>
                </c:pt>
                <c:pt idx="2">
                  <c:v>Fruit</c:v>
                </c:pt>
                <c:pt idx="3">
                  <c:v>Vegetables</c:v>
                </c:pt>
              </c:strCache>
            </c:strRef>
          </c:cat>
          <c:val>
            <c:numRef>
              <c:f>Sheet1!$B$18:$B$22</c:f>
              <c:numCache>
                <c:formatCode>_("$"* #,##0.00_);_("$"* \(#,##0.00\);_("$"* "-"??_);_(@_)</c:formatCode>
                <c:ptCount val="4"/>
                <c:pt idx="0">
                  <c:v>5015</c:v>
                </c:pt>
                <c:pt idx="1">
                  <c:v>84139</c:v>
                </c:pt>
                <c:pt idx="2">
                  <c:v>172644</c:v>
                </c:pt>
                <c:pt idx="3">
                  <c:v>152844</c:v>
                </c:pt>
              </c:numCache>
            </c:numRef>
          </c:val>
          <c:extLst>
            <c:ext xmlns:c16="http://schemas.microsoft.com/office/drawing/2014/chart" uri="{C3380CC4-5D6E-409C-BE32-E72D297353CC}">
              <c16:uniqueId val="{00000000-3C7B-4ECD-8612-6B8F8A32B666}"/>
            </c:ext>
          </c:extLst>
        </c:ser>
        <c:ser>
          <c:idx val="1"/>
          <c:order val="1"/>
          <c:tx>
            <c:strRef>
              <c:f>Sheet1!$C$16:$C$17</c:f>
              <c:strCache>
                <c:ptCount val="1"/>
                <c:pt idx="0">
                  <c:v>Canada</c:v>
                </c:pt>
              </c:strCache>
            </c:strRef>
          </c:tx>
          <c:spPr>
            <a:solidFill>
              <a:schemeClr val="accent2"/>
            </a:solidFill>
            <a:ln>
              <a:noFill/>
            </a:ln>
            <a:effectLst/>
          </c:spPr>
          <c:invertIfNegative val="0"/>
          <c:cat>
            <c:strRef>
              <c:f>Sheet1!$A$18:$A$22</c:f>
              <c:strCache>
                <c:ptCount val="4"/>
                <c:pt idx="0">
                  <c:v>CROPS</c:v>
                </c:pt>
                <c:pt idx="1">
                  <c:v>DRY FRUITS</c:v>
                </c:pt>
                <c:pt idx="2">
                  <c:v>Fruit</c:v>
                </c:pt>
                <c:pt idx="3">
                  <c:v>Vegetables</c:v>
                </c:pt>
              </c:strCache>
            </c:strRef>
          </c:cat>
          <c:val>
            <c:numRef>
              <c:f>Sheet1!$C$18:$C$22</c:f>
              <c:numCache>
                <c:formatCode>_("$"* #,##0.00_);_("$"* \(#,##0.00\);_("$"* "-"??_);_(@_)</c:formatCode>
                <c:ptCount val="4"/>
                <c:pt idx="0">
                  <c:v>14372</c:v>
                </c:pt>
                <c:pt idx="1">
                  <c:v>27389</c:v>
                </c:pt>
                <c:pt idx="2">
                  <c:v>37807</c:v>
                </c:pt>
                <c:pt idx="3">
                  <c:v>14469</c:v>
                </c:pt>
              </c:numCache>
            </c:numRef>
          </c:val>
          <c:extLst>
            <c:ext xmlns:c16="http://schemas.microsoft.com/office/drawing/2014/chart" uri="{C3380CC4-5D6E-409C-BE32-E72D297353CC}">
              <c16:uniqueId val="{00000001-3C7B-4ECD-8612-6B8F8A32B666}"/>
            </c:ext>
          </c:extLst>
        </c:ser>
        <c:ser>
          <c:idx val="2"/>
          <c:order val="2"/>
          <c:tx>
            <c:strRef>
              <c:f>Sheet1!$D$16:$D$17</c:f>
              <c:strCache>
                <c:ptCount val="1"/>
                <c:pt idx="0">
                  <c:v>France</c:v>
                </c:pt>
              </c:strCache>
            </c:strRef>
          </c:tx>
          <c:spPr>
            <a:solidFill>
              <a:schemeClr val="accent3"/>
            </a:solidFill>
            <a:ln>
              <a:noFill/>
            </a:ln>
            <a:effectLst/>
          </c:spPr>
          <c:invertIfNegative val="0"/>
          <c:cat>
            <c:strRef>
              <c:f>Sheet1!$A$18:$A$22</c:f>
              <c:strCache>
                <c:ptCount val="4"/>
                <c:pt idx="0">
                  <c:v>CROPS</c:v>
                </c:pt>
                <c:pt idx="1">
                  <c:v>DRY FRUITS</c:v>
                </c:pt>
                <c:pt idx="2">
                  <c:v>Fruit</c:v>
                </c:pt>
                <c:pt idx="3">
                  <c:v>Vegetables</c:v>
                </c:pt>
              </c:strCache>
            </c:strRef>
          </c:cat>
          <c:val>
            <c:numRef>
              <c:f>Sheet1!$D$18:$D$22</c:f>
              <c:numCache>
                <c:formatCode>_("$"* #,##0.00_);_("$"* \(#,##0.00\);_("$"* "-"??_);_(@_)</c:formatCode>
                <c:ptCount val="4"/>
                <c:pt idx="0">
                  <c:v>82661</c:v>
                </c:pt>
                <c:pt idx="1">
                  <c:v>93289</c:v>
                </c:pt>
                <c:pt idx="2">
                  <c:v>85327</c:v>
                </c:pt>
                <c:pt idx="3">
                  <c:v>135993</c:v>
                </c:pt>
              </c:numCache>
            </c:numRef>
          </c:val>
          <c:extLst>
            <c:ext xmlns:c16="http://schemas.microsoft.com/office/drawing/2014/chart" uri="{C3380CC4-5D6E-409C-BE32-E72D297353CC}">
              <c16:uniqueId val="{00000002-3C7B-4ECD-8612-6B8F8A32B666}"/>
            </c:ext>
          </c:extLst>
        </c:ser>
        <c:ser>
          <c:idx val="3"/>
          <c:order val="3"/>
          <c:tx>
            <c:strRef>
              <c:f>Sheet1!$E$16:$E$17</c:f>
              <c:strCache>
                <c:ptCount val="1"/>
                <c:pt idx="0">
                  <c:v>Germany</c:v>
                </c:pt>
              </c:strCache>
            </c:strRef>
          </c:tx>
          <c:spPr>
            <a:solidFill>
              <a:schemeClr val="accent4"/>
            </a:solidFill>
            <a:ln>
              <a:noFill/>
            </a:ln>
            <a:effectLst/>
          </c:spPr>
          <c:invertIfNegative val="0"/>
          <c:cat>
            <c:strRef>
              <c:f>Sheet1!$A$18:$A$22</c:f>
              <c:strCache>
                <c:ptCount val="4"/>
                <c:pt idx="0">
                  <c:v>CROPS</c:v>
                </c:pt>
                <c:pt idx="1">
                  <c:v>DRY FRUITS</c:v>
                </c:pt>
                <c:pt idx="2">
                  <c:v>Fruit</c:v>
                </c:pt>
                <c:pt idx="3">
                  <c:v>Vegetables</c:v>
                </c:pt>
              </c:strCache>
            </c:strRef>
          </c:cat>
          <c:val>
            <c:numRef>
              <c:f>Sheet1!$E$18:$E$22</c:f>
              <c:numCache>
                <c:formatCode>_("$"* #,##0.00_);_("$"* \(#,##0.00\);_("$"* "-"??_);_(@_)</c:formatCode>
                <c:ptCount val="4"/>
                <c:pt idx="0">
                  <c:v>101936</c:v>
                </c:pt>
                <c:pt idx="1">
                  <c:v>24968</c:v>
                </c:pt>
                <c:pt idx="2">
                  <c:v>107865</c:v>
                </c:pt>
                <c:pt idx="3">
                  <c:v>81927</c:v>
                </c:pt>
              </c:numCache>
            </c:numRef>
          </c:val>
          <c:extLst>
            <c:ext xmlns:c16="http://schemas.microsoft.com/office/drawing/2014/chart" uri="{C3380CC4-5D6E-409C-BE32-E72D297353CC}">
              <c16:uniqueId val="{00000003-3C7B-4ECD-8612-6B8F8A32B666}"/>
            </c:ext>
          </c:extLst>
        </c:ser>
        <c:ser>
          <c:idx val="4"/>
          <c:order val="4"/>
          <c:tx>
            <c:strRef>
              <c:f>Sheet1!$F$16:$F$17</c:f>
              <c:strCache>
                <c:ptCount val="1"/>
                <c:pt idx="0">
                  <c:v>New Zealand</c:v>
                </c:pt>
              </c:strCache>
            </c:strRef>
          </c:tx>
          <c:spPr>
            <a:solidFill>
              <a:schemeClr val="accent5"/>
            </a:solidFill>
            <a:ln>
              <a:noFill/>
            </a:ln>
            <a:effectLst/>
          </c:spPr>
          <c:invertIfNegative val="0"/>
          <c:cat>
            <c:strRef>
              <c:f>Sheet1!$A$18:$A$22</c:f>
              <c:strCache>
                <c:ptCount val="4"/>
                <c:pt idx="0">
                  <c:v>CROPS</c:v>
                </c:pt>
                <c:pt idx="1">
                  <c:v>DRY FRUITS</c:v>
                </c:pt>
                <c:pt idx="2">
                  <c:v>Fruit</c:v>
                </c:pt>
                <c:pt idx="3">
                  <c:v>Vegetables</c:v>
                </c:pt>
              </c:strCache>
            </c:strRef>
          </c:cat>
          <c:val>
            <c:numRef>
              <c:f>Sheet1!$F$18:$F$22</c:f>
              <c:numCache>
                <c:formatCode>_("$"* #,##0.00_);_("$"* \(#,##0.00\);_("$"* "-"??_);_(@_)</c:formatCode>
                <c:ptCount val="4"/>
                <c:pt idx="0">
                  <c:v>72179</c:v>
                </c:pt>
                <c:pt idx="1">
                  <c:v>62339</c:v>
                </c:pt>
                <c:pt idx="2">
                  <c:v>21165</c:v>
                </c:pt>
                <c:pt idx="3">
                  <c:v>60720</c:v>
                </c:pt>
              </c:numCache>
            </c:numRef>
          </c:val>
          <c:extLst>
            <c:ext xmlns:c16="http://schemas.microsoft.com/office/drawing/2014/chart" uri="{C3380CC4-5D6E-409C-BE32-E72D297353CC}">
              <c16:uniqueId val="{00000004-3C7B-4ECD-8612-6B8F8A32B666}"/>
            </c:ext>
          </c:extLst>
        </c:ser>
        <c:ser>
          <c:idx val="5"/>
          <c:order val="5"/>
          <c:tx>
            <c:strRef>
              <c:f>Sheet1!$G$16:$G$17</c:f>
              <c:strCache>
                <c:ptCount val="1"/>
                <c:pt idx="0">
                  <c:v>United Kingdom</c:v>
                </c:pt>
              </c:strCache>
            </c:strRef>
          </c:tx>
          <c:spPr>
            <a:solidFill>
              <a:schemeClr val="accent6"/>
            </a:solidFill>
            <a:ln>
              <a:noFill/>
            </a:ln>
            <a:effectLst/>
          </c:spPr>
          <c:invertIfNegative val="0"/>
          <c:cat>
            <c:strRef>
              <c:f>Sheet1!$A$18:$A$22</c:f>
              <c:strCache>
                <c:ptCount val="4"/>
                <c:pt idx="0">
                  <c:v>CROPS</c:v>
                </c:pt>
                <c:pt idx="1">
                  <c:v>DRY FRUITS</c:v>
                </c:pt>
                <c:pt idx="2">
                  <c:v>Fruit</c:v>
                </c:pt>
                <c:pt idx="3">
                  <c:v>Vegetables</c:v>
                </c:pt>
              </c:strCache>
            </c:strRef>
          </c:cat>
          <c:val>
            <c:numRef>
              <c:f>Sheet1!$G$18:$G$22</c:f>
              <c:numCache>
                <c:formatCode>_("$"* #,##0.00_);_("$"* \(#,##0.00\);_("$"* "-"??_);_(@_)</c:formatCode>
                <c:ptCount val="4"/>
                <c:pt idx="0">
                  <c:v>12917</c:v>
                </c:pt>
                <c:pt idx="1">
                  <c:v>22147</c:v>
                </c:pt>
                <c:pt idx="2">
                  <c:v>61898</c:v>
                </c:pt>
                <c:pt idx="3">
                  <c:v>79675</c:v>
                </c:pt>
              </c:numCache>
            </c:numRef>
          </c:val>
          <c:extLst>
            <c:ext xmlns:c16="http://schemas.microsoft.com/office/drawing/2014/chart" uri="{C3380CC4-5D6E-409C-BE32-E72D297353CC}">
              <c16:uniqueId val="{00000005-3C7B-4ECD-8612-6B8F8A32B666}"/>
            </c:ext>
          </c:extLst>
        </c:ser>
        <c:ser>
          <c:idx val="6"/>
          <c:order val="6"/>
          <c:tx>
            <c:strRef>
              <c:f>Sheet1!$H$16:$H$17</c:f>
              <c:strCache>
                <c:ptCount val="1"/>
                <c:pt idx="0">
                  <c:v>United States</c:v>
                </c:pt>
              </c:strCache>
            </c:strRef>
          </c:tx>
          <c:spPr>
            <a:solidFill>
              <a:schemeClr val="accent1">
                <a:lumMod val="60000"/>
              </a:schemeClr>
            </a:solidFill>
            <a:ln>
              <a:noFill/>
            </a:ln>
            <a:effectLst/>
          </c:spPr>
          <c:invertIfNegative val="0"/>
          <c:cat>
            <c:strRef>
              <c:f>Sheet1!$A$18:$A$22</c:f>
              <c:strCache>
                <c:ptCount val="4"/>
                <c:pt idx="0">
                  <c:v>CROPS</c:v>
                </c:pt>
                <c:pt idx="1">
                  <c:v>DRY FRUITS</c:v>
                </c:pt>
                <c:pt idx="2">
                  <c:v>Fruit</c:v>
                </c:pt>
                <c:pt idx="3">
                  <c:v>Vegetables</c:v>
                </c:pt>
              </c:strCache>
            </c:strRef>
          </c:cat>
          <c:val>
            <c:numRef>
              <c:f>Sheet1!$H$18:$H$22</c:f>
              <c:numCache>
                <c:formatCode>_("$"* #,##0.00_);_("$"* \(#,##0.00\);_("$"* "-"??_);_(@_)</c:formatCode>
                <c:ptCount val="4"/>
                <c:pt idx="0">
                  <c:v>66020</c:v>
                </c:pt>
                <c:pt idx="1">
                  <c:v>48990</c:v>
                </c:pt>
                <c:pt idx="2">
                  <c:v>246020</c:v>
                </c:pt>
                <c:pt idx="3">
                  <c:v>202780</c:v>
                </c:pt>
              </c:numCache>
            </c:numRef>
          </c:val>
          <c:extLst>
            <c:ext xmlns:c16="http://schemas.microsoft.com/office/drawing/2014/chart" uri="{C3380CC4-5D6E-409C-BE32-E72D297353CC}">
              <c16:uniqueId val="{00000006-3C7B-4ECD-8612-6B8F8A32B666}"/>
            </c:ext>
          </c:extLst>
        </c:ser>
        <c:dLbls>
          <c:showLegendKey val="0"/>
          <c:showVal val="0"/>
          <c:showCatName val="0"/>
          <c:showSerName val="0"/>
          <c:showPercent val="0"/>
          <c:showBubbleSize val="0"/>
        </c:dLbls>
        <c:gapWidth val="219"/>
        <c:overlap val="-27"/>
        <c:axId val="689952111"/>
        <c:axId val="689961231"/>
      </c:barChart>
      <c:catAx>
        <c:axId val="68995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61231"/>
        <c:crosses val="autoZero"/>
        <c:auto val="1"/>
        <c:lblAlgn val="ctr"/>
        <c:lblOffset val="100"/>
        <c:noMultiLvlLbl val="0"/>
      </c:catAx>
      <c:valAx>
        <c:axId val="6899612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5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[Book2_pivot.xlsx]Sheet1!PivotTable1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s>
    <c:plotArea>
      <c:layout/>
      <c:pieChart>
        <c:varyColors val="1"/>
        <c:ser>
          <c:idx val="0"/>
          <c:order val="0"/>
          <c:tx>
            <c:strRef>
              <c:f>Sheet1!$B$3:$B$4</c:f>
              <c:strCache>
                <c:ptCount val="1"/>
                <c:pt idx="0">
                  <c:v>CROPS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9B-4A70-B82F-F929EDD6A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9B-4A70-B82F-F929EDD6A3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9B-4A70-B82F-F929EDD6A3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9B-4A70-B82F-F929EDD6A3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9B-4A70-B82F-F929EDD6A3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9B-4A70-B82F-F929EDD6A3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A9B-4A70-B82F-F929EDD6A3BC}"/>
              </c:ext>
            </c:extLst>
          </c:dPt>
          <c:cat>
            <c:strRef>
              <c:f>Sheet1!$A$5:$A$12</c:f>
              <c:strCache>
                <c:ptCount val="7"/>
                <c:pt idx="0">
                  <c:v>Australia</c:v>
                </c:pt>
                <c:pt idx="1">
                  <c:v>Canada</c:v>
                </c:pt>
                <c:pt idx="2">
                  <c:v>France</c:v>
                </c:pt>
                <c:pt idx="3">
                  <c:v>Germany</c:v>
                </c:pt>
                <c:pt idx="4">
                  <c:v>New Zealand</c:v>
                </c:pt>
                <c:pt idx="5">
                  <c:v>United Kingdom</c:v>
                </c:pt>
                <c:pt idx="6">
                  <c:v>United States</c:v>
                </c:pt>
              </c:strCache>
            </c:strRef>
          </c:cat>
          <c:val>
            <c:numRef>
              <c:f>Sheet1!$B$5:$B$12</c:f>
              <c:numCache>
                <c:formatCode>_("$"* #,##0.00_);_("$"* \(#,##0.00\);_("$"* "-"??_);_(@_)</c:formatCode>
                <c:ptCount val="7"/>
                <c:pt idx="0">
                  <c:v>5015</c:v>
                </c:pt>
                <c:pt idx="1">
                  <c:v>14372</c:v>
                </c:pt>
                <c:pt idx="2">
                  <c:v>82661</c:v>
                </c:pt>
                <c:pt idx="3">
                  <c:v>101936</c:v>
                </c:pt>
                <c:pt idx="4">
                  <c:v>72179</c:v>
                </c:pt>
                <c:pt idx="5">
                  <c:v>12917</c:v>
                </c:pt>
                <c:pt idx="6">
                  <c:v>66020</c:v>
                </c:pt>
              </c:numCache>
            </c:numRef>
          </c:val>
          <c:extLst>
            <c:ext xmlns:c16="http://schemas.microsoft.com/office/drawing/2014/chart" uri="{C3380CC4-5D6E-409C-BE32-E72D297353CC}">
              <c16:uniqueId val="{00000000-CCD1-4068-9010-45B6A176CCCA}"/>
            </c:ext>
          </c:extLst>
        </c:ser>
        <c:ser>
          <c:idx val="1"/>
          <c:order val="1"/>
          <c:tx>
            <c:strRef>
              <c:f>Sheet1!$C$3:$C$4</c:f>
              <c:strCache>
                <c:ptCount val="1"/>
                <c:pt idx="0">
                  <c:v>DRY FRUITS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5A9B-4A70-B82F-F929EDD6A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5A9B-4A70-B82F-F929EDD6A3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5A9B-4A70-B82F-F929EDD6A3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5A9B-4A70-B82F-F929EDD6A3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5A9B-4A70-B82F-F929EDD6A3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5A9B-4A70-B82F-F929EDD6A3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5A9B-4A70-B82F-F929EDD6A3BC}"/>
              </c:ext>
            </c:extLst>
          </c:dPt>
          <c:cat>
            <c:strRef>
              <c:f>Sheet1!$A$5:$A$12</c:f>
              <c:strCache>
                <c:ptCount val="7"/>
                <c:pt idx="0">
                  <c:v>Australia</c:v>
                </c:pt>
                <c:pt idx="1">
                  <c:v>Canada</c:v>
                </c:pt>
                <c:pt idx="2">
                  <c:v>France</c:v>
                </c:pt>
                <c:pt idx="3">
                  <c:v>Germany</c:v>
                </c:pt>
                <c:pt idx="4">
                  <c:v>New Zealand</c:v>
                </c:pt>
                <c:pt idx="5">
                  <c:v>United Kingdom</c:v>
                </c:pt>
                <c:pt idx="6">
                  <c:v>United States</c:v>
                </c:pt>
              </c:strCache>
            </c:strRef>
          </c:cat>
          <c:val>
            <c:numRef>
              <c:f>Sheet1!$C$5:$C$12</c:f>
              <c:numCache>
                <c:formatCode>_("$"* #,##0.00_);_("$"* \(#,##0.00\);_("$"* "-"??_);_(@_)</c:formatCode>
                <c:ptCount val="7"/>
                <c:pt idx="0">
                  <c:v>84139</c:v>
                </c:pt>
                <c:pt idx="1">
                  <c:v>27389</c:v>
                </c:pt>
                <c:pt idx="2">
                  <c:v>93289</c:v>
                </c:pt>
                <c:pt idx="3">
                  <c:v>24968</c:v>
                </c:pt>
                <c:pt idx="4">
                  <c:v>62339</c:v>
                </c:pt>
                <c:pt idx="5">
                  <c:v>22147</c:v>
                </c:pt>
                <c:pt idx="6">
                  <c:v>48990</c:v>
                </c:pt>
              </c:numCache>
            </c:numRef>
          </c:val>
          <c:extLst>
            <c:ext xmlns:c16="http://schemas.microsoft.com/office/drawing/2014/chart" uri="{C3380CC4-5D6E-409C-BE32-E72D297353CC}">
              <c16:uniqueId val="{00000001-CCD1-4068-9010-45B6A176CCCA}"/>
            </c:ext>
          </c:extLst>
        </c:ser>
        <c:ser>
          <c:idx val="2"/>
          <c:order val="2"/>
          <c:tx>
            <c:strRef>
              <c:f>Sheet1!$D$3:$D$4</c:f>
              <c:strCache>
                <c:ptCount val="1"/>
                <c:pt idx="0">
                  <c:v>Fruit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5A9B-4A70-B82F-F929EDD6A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5A9B-4A70-B82F-F929EDD6A3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5A9B-4A70-B82F-F929EDD6A3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5A9B-4A70-B82F-F929EDD6A3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5A9B-4A70-B82F-F929EDD6A3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5A9B-4A70-B82F-F929EDD6A3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5A9B-4A70-B82F-F929EDD6A3BC}"/>
              </c:ext>
            </c:extLst>
          </c:dPt>
          <c:cat>
            <c:strRef>
              <c:f>Sheet1!$A$5:$A$12</c:f>
              <c:strCache>
                <c:ptCount val="7"/>
                <c:pt idx="0">
                  <c:v>Australia</c:v>
                </c:pt>
                <c:pt idx="1">
                  <c:v>Canada</c:v>
                </c:pt>
                <c:pt idx="2">
                  <c:v>France</c:v>
                </c:pt>
                <c:pt idx="3">
                  <c:v>Germany</c:v>
                </c:pt>
                <c:pt idx="4">
                  <c:v>New Zealand</c:v>
                </c:pt>
                <c:pt idx="5">
                  <c:v>United Kingdom</c:v>
                </c:pt>
                <c:pt idx="6">
                  <c:v>United States</c:v>
                </c:pt>
              </c:strCache>
            </c:strRef>
          </c:cat>
          <c:val>
            <c:numRef>
              <c:f>Sheet1!$D$5:$D$12</c:f>
              <c:numCache>
                <c:formatCode>_("$"* #,##0.00_);_("$"* \(#,##0.00\);_("$"* "-"??_);_(@_)</c:formatCode>
                <c:ptCount val="7"/>
                <c:pt idx="0">
                  <c:v>172644</c:v>
                </c:pt>
                <c:pt idx="1">
                  <c:v>37807</c:v>
                </c:pt>
                <c:pt idx="2">
                  <c:v>85327</c:v>
                </c:pt>
                <c:pt idx="3">
                  <c:v>107865</c:v>
                </c:pt>
                <c:pt idx="4">
                  <c:v>21165</c:v>
                </c:pt>
                <c:pt idx="5">
                  <c:v>61898</c:v>
                </c:pt>
                <c:pt idx="6">
                  <c:v>246020</c:v>
                </c:pt>
              </c:numCache>
            </c:numRef>
          </c:val>
          <c:extLst>
            <c:ext xmlns:c16="http://schemas.microsoft.com/office/drawing/2014/chart" uri="{C3380CC4-5D6E-409C-BE32-E72D297353CC}">
              <c16:uniqueId val="{00000002-CCD1-4068-9010-45B6A176CCCA}"/>
            </c:ext>
          </c:extLst>
        </c:ser>
        <c:ser>
          <c:idx val="3"/>
          <c:order val="3"/>
          <c:tx>
            <c:strRef>
              <c:f>Sheet1!$E$3:$E$4</c:f>
              <c:strCache>
                <c:ptCount val="1"/>
                <c:pt idx="0">
                  <c:v>Vegetables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5A9B-4A70-B82F-F929EDD6A3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5A9B-4A70-B82F-F929EDD6A3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5A9B-4A70-B82F-F929EDD6A3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5A9B-4A70-B82F-F929EDD6A3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5A9B-4A70-B82F-F929EDD6A3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5A9B-4A70-B82F-F929EDD6A3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5A9B-4A70-B82F-F929EDD6A3BC}"/>
              </c:ext>
            </c:extLst>
          </c:dPt>
          <c:cat>
            <c:strRef>
              <c:f>Sheet1!$A$5:$A$12</c:f>
              <c:strCache>
                <c:ptCount val="7"/>
                <c:pt idx="0">
                  <c:v>Australia</c:v>
                </c:pt>
                <c:pt idx="1">
                  <c:v>Canada</c:v>
                </c:pt>
                <c:pt idx="2">
                  <c:v>France</c:v>
                </c:pt>
                <c:pt idx="3">
                  <c:v>Germany</c:v>
                </c:pt>
                <c:pt idx="4">
                  <c:v>New Zealand</c:v>
                </c:pt>
                <c:pt idx="5">
                  <c:v>United Kingdom</c:v>
                </c:pt>
                <c:pt idx="6">
                  <c:v>United States</c:v>
                </c:pt>
              </c:strCache>
            </c:strRef>
          </c:cat>
          <c:val>
            <c:numRef>
              <c:f>Sheet1!$E$5:$E$12</c:f>
              <c:numCache>
                <c:formatCode>_("$"* #,##0.00_);_("$"* \(#,##0.00\);_("$"* "-"??_);_(@_)</c:formatCode>
                <c:ptCount val="7"/>
                <c:pt idx="0">
                  <c:v>152844</c:v>
                </c:pt>
                <c:pt idx="1">
                  <c:v>14469</c:v>
                </c:pt>
                <c:pt idx="2">
                  <c:v>135993</c:v>
                </c:pt>
                <c:pt idx="3">
                  <c:v>81927</c:v>
                </c:pt>
                <c:pt idx="4">
                  <c:v>60720</c:v>
                </c:pt>
                <c:pt idx="5">
                  <c:v>79675</c:v>
                </c:pt>
                <c:pt idx="6">
                  <c:v>202780</c:v>
                </c:pt>
              </c:numCache>
            </c:numRef>
          </c:val>
          <c:extLst>
            <c:ext xmlns:c16="http://schemas.microsoft.com/office/drawing/2014/chart" uri="{C3380CC4-5D6E-409C-BE32-E72D297353CC}">
              <c16:uniqueId val="{00000003-CCD1-4068-9010-45B6A176CC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[Book2_pivot.xlsx]Sheet1!PivotTable3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Sheet1!$B$25</c:f>
              <c:strCache>
                <c:ptCount val="1"/>
                <c:pt idx="0">
                  <c:v>Total</c:v>
                </c:pt>
              </c:strCache>
            </c:strRef>
          </c:tx>
          <c:spPr>
            <a:solidFill>
              <a:schemeClr val="accent1"/>
            </a:solidFill>
            <a:ln>
              <a:noFill/>
            </a:ln>
            <a:effectLst/>
          </c:spPr>
          <c:invertIfNegative val="0"/>
          <c:cat>
            <c:strRef>
              <c:f>Sheet1!$A$26:$A$31</c:f>
              <c:strCache>
                <c:ptCount val="5"/>
                <c:pt idx="0">
                  <c:v>Australia</c:v>
                </c:pt>
                <c:pt idx="1">
                  <c:v>Germany</c:v>
                </c:pt>
                <c:pt idx="2">
                  <c:v>New Zealand</c:v>
                </c:pt>
                <c:pt idx="3">
                  <c:v>United Kingdom</c:v>
                </c:pt>
                <c:pt idx="4">
                  <c:v>United States</c:v>
                </c:pt>
              </c:strCache>
            </c:strRef>
          </c:cat>
          <c:val>
            <c:numRef>
              <c:f>Sheet1!$B$26:$B$31</c:f>
              <c:numCache>
                <c:formatCode>_("$"* #,##0.00_);_("$"* \(#,##0.00\);_("$"* "-"??_);_(@_)</c:formatCode>
                <c:ptCount val="5"/>
                <c:pt idx="0">
                  <c:v>19685</c:v>
                </c:pt>
                <c:pt idx="1">
                  <c:v>20037</c:v>
                </c:pt>
                <c:pt idx="2">
                  <c:v>19861</c:v>
                </c:pt>
                <c:pt idx="3">
                  <c:v>9405</c:v>
                </c:pt>
                <c:pt idx="4">
                  <c:v>20213</c:v>
                </c:pt>
              </c:numCache>
            </c:numRef>
          </c:val>
          <c:extLst>
            <c:ext xmlns:c16="http://schemas.microsoft.com/office/drawing/2014/chart" uri="{C3380CC4-5D6E-409C-BE32-E72D297353CC}">
              <c16:uniqueId val="{00000000-A4EC-499A-BF35-35DD4CFF4A33}"/>
            </c:ext>
          </c:extLst>
        </c:ser>
        <c:dLbls>
          <c:showLegendKey val="0"/>
          <c:showVal val="0"/>
          <c:showCatName val="0"/>
          <c:showSerName val="0"/>
          <c:showPercent val="0"/>
          <c:showBubbleSize val="0"/>
        </c:dLbls>
        <c:gapWidth val="219"/>
        <c:overlap val="-27"/>
        <c:axId val="690032751"/>
        <c:axId val="690024591"/>
      </c:barChart>
      <c:catAx>
        <c:axId val="69003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24591"/>
        <c:crosses val="autoZero"/>
        <c:auto val="1"/>
        <c:lblAlgn val="ctr"/>
        <c:lblOffset val="100"/>
        <c:noMultiLvlLbl val="0"/>
      </c:catAx>
      <c:valAx>
        <c:axId val="690024591"/>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3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[Book2_pivot.xlsx]Sheet2!PivotTable1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Australia</c:v>
                </c:pt>
              </c:strCache>
            </c:strRef>
          </c:tx>
          <c:spPr>
            <a:solidFill>
              <a:schemeClr val="accent1"/>
            </a:solidFill>
            <a:ln>
              <a:noFill/>
            </a:ln>
            <a:effectLst/>
          </c:spPr>
          <c:invertIfNegative val="0"/>
          <c:cat>
            <c:strRef>
              <c:f>Sheet2!$A$5:$A$9</c:f>
              <c:strCache>
                <c:ptCount val="4"/>
                <c:pt idx="0">
                  <c:v>CROPS</c:v>
                </c:pt>
                <c:pt idx="1">
                  <c:v>DRY FRUITS</c:v>
                </c:pt>
                <c:pt idx="2">
                  <c:v>Fruit</c:v>
                </c:pt>
                <c:pt idx="3">
                  <c:v>Vegetables</c:v>
                </c:pt>
              </c:strCache>
            </c:strRef>
          </c:cat>
          <c:val>
            <c:numRef>
              <c:f>Sheet2!$B$5:$B$9</c:f>
              <c:numCache>
                <c:formatCode>_("$"* #,##0.00_);_("$"* \(#,##0.00\);_("$"* "-"??_);_(@_)</c:formatCode>
                <c:ptCount val="4"/>
                <c:pt idx="0">
                  <c:v>5015</c:v>
                </c:pt>
                <c:pt idx="1">
                  <c:v>84139</c:v>
                </c:pt>
                <c:pt idx="2">
                  <c:v>172644</c:v>
                </c:pt>
                <c:pt idx="3">
                  <c:v>152844</c:v>
                </c:pt>
              </c:numCache>
            </c:numRef>
          </c:val>
          <c:extLst>
            <c:ext xmlns:c16="http://schemas.microsoft.com/office/drawing/2014/chart" uri="{C3380CC4-5D6E-409C-BE32-E72D297353CC}">
              <c16:uniqueId val="{00000000-4E77-460F-A206-9C8D9EA8E03B}"/>
            </c:ext>
          </c:extLst>
        </c:ser>
        <c:ser>
          <c:idx val="1"/>
          <c:order val="1"/>
          <c:tx>
            <c:strRef>
              <c:f>Sheet2!$C$3:$C$4</c:f>
              <c:strCache>
                <c:ptCount val="1"/>
                <c:pt idx="0">
                  <c:v>Canada</c:v>
                </c:pt>
              </c:strCache>
            </c:strRef>
          </c:tx>
          <c:spPr>
            <a:solidFill>
              <a:schemeClr val="accent2"/>
            </a:solidFill>
            <a:ln>
              <a:noFill/>
            </a:ln>
            <a:effectLst/>
          </c:spPr>
          <c:invertIfNegative val="0"/>
          <c:cat>
            <c:strRef>
              <c:f>Sheet2!$A$5:$A$9</c:f>
              <c:strCache>
                <c:ptCount val="4"/>
                <c:pt idx="0">
                  <c:v>CROPS</c:v>
                </c:pt>
                <c:pt idx="1">
                  <c:v>DRY FRUITS</c:v>
                </c:pt>
                <c:pt idx="2">
                  <c:v>Fruit</c:v>
                </c:pt>
                <c:pt idx="3">
                  <c:v>Vegetables</c:v>
                </c:pt>
              </c:strCache>
            </c:strRef>
          </c:cat>
          <c:val>
            <c:numRef>
              <c:f>Sheet2!$C$5:$C$9</c:f>
              <c:numCache>
                <c:formatCode>_("$"* #,##0.00_);_("$"* \(#,##0.00\);_("$"* "-"??_);_(@_)</c:formatCode>
                <c:ptCount val="4"/>
                <c:pt idx="0">
                  <c:v>14372</c:v>
                </c:pt>
                <c:pt idx="1">
                  <c:v>27389</c:v>
                </c:pt>
                <c:pt idx="2">
                  <c:v>37807</c:v>
                </c:pt>
                <c:pt idx="3">
                  <c:v>14469</c:v>
                </c:pt>
              </c:numCache>
            </c:numRef>
          </c:val>
          <c:extLst>
            <c:ext xmlns:c16="http://schemas.microsoft.com/office/drawing/2014/chart" uri="{C3380CC4-5D6E-409C-BE32-E72D297353CC}">
              <c16:uniqueId val="{00000001-4E77-460F-A206-9C8D9EA8E03B}"/>
            </c:ext>
          </c:extLst>
        </c:ser>
        <c:ser>
          <c:idx val="2"/>
          <c:order val="2"/>
          <c:tx>
            <c:strRef>
              <c:f>Sheet2!$D$3:$D$4</c:f>
              <c:strCache>
                <c:ptCount val="1"/>
                <c:pt idx="0">
                  <c:v>France</c:v>
                </c:pt>
              </c:strCache>
            </c:strRef>
          </c:tx>
          <c:spPr>
            <a:solidFill>
              <a:schemeClr val="accent3"/>
            </a:solidFill>
            <a:ln>
              <a:noFill/>
            </a:ln>
            <a:effectLst/>
          </c:spPr>
          <c:invertIfNegative val="0"/>
          <c:cat>
            <c:strRef>
              <c:f>Sheet2!$A$5:$A$9</c:f>
              <c:strCache>
                <c:ptCount val="4"/>
                <c:pt idx="0">
                  <c:v>CROPS</c:v>
                </c:pt>
                <c:pt idx="1">
                  <c:v>DRY FRUITS</c:v>
                </c:pt>
                <c:pt idx="2">
                  <c:v>Fruit</c:v>
                </c:pt>
                <c:pt idx="3">
                  <c:v>Vegetables</c:v>
                </c:pt>
              </c:strCache>
            </c:strRef>
          </c:cat>
          <c:val>
            <c:numRef>
              <c:f>Sheet2!$D$5:$D$9</c:f>
              <c:numCache>
                <c:formatCode>_("$"* #,##0.00_);_("$"* \(#,##0.00\);_("$"* "-"??_);_(@_)</c:formatCode>
                <c:ptCount val="4"/>
                <c:pt idx="0">
                  <c:v>82661</c:v>
                </c:pt>
                <c:pt idx="1">
                  <c:v>93289</c:v>
                </c:pt>
                <c:pt idx="2">
                  <c:v>85327</c:v>
                </c:pt>
                <c:pt idx="3">
                  <c:v>135993</c:v>
                </c:pt>
              </c:numCache>
            </c:numRef>
          </c:val>
          <c:extLst>
            <c:ext xmlns:c16="http://schemas.microsoft.com/office/drawing/2014/chart" uri="{C3380CC4-5D6E-409C-BE32-E72D297353CC}">
              <c16:uniqueId val="{00000002-4E77-460F-A206-9C8D9EA8E03B}"/>
            </c:ext>
          </c:extLst>
        </c:ser>
        <c:ser>
          <c:idx val="3"/>
          <c:order val="3"/>
          <c:tx>
            <c:strRef>
              <c:f>Sheet2!$E$3:$E$4</c:f>
              <c:strCache>
                <c:ptCount val="1"/>
                <c:pt idx="0">
                  <c:v>Germany</c:v>
                </c:pt>
              </c:strCache>
            </c:strRef>
          </c:tx>
          <c:spPr>
            <a:solidFill>
              <a:schemeClr val="accent4"/>
            </a:solidFill>
            <a:ln>
              <a:noFill/>
            </a:ln>
            <a:effectLst/>
          </c:spPr>
          <c:invertIfNegative val="0"/>
          <c:cat>
            <c:strRef>
              <c:f>Sheet2!$A$5:$A$9</c:f>
              <c:strCache>
                <c:ptCount val="4"/>
                <c:pt idx="0">
                  <c:v>CROPS</c:v>
                </c:pt>
                <c:pt idx="1">
                  <c:v>DRY FRUITS</c:v>
                </c:pt>
                <c:pt idx="2">
                  <c:v>Fruit</c:v>
                </c:pt>
                <c:pt idx="3">
                  <c:v>Vegetables</c:v>
                </c:pt>
              </c:strCache>
            </c:strRef>
          </c:cat>
          <c:val>
            <c:numRef>
              <c:f>Sheet2!$E$5:$E$9</c:f>
              <c:numCache>
                <c:formatCode>_("$"* #,##0.00_);_("$"* \(#,##0.00\);_("$"* "-"??_);_(@_)</c:formatCode>
                <c:ptCount val="4"/>
                <c:pt idx="0">
                  <c:v>101936</c:v>
                </c:pt>
                <c:pt idx="1">
                  <c:v>24968</c:v>
                </c:pt>
                <c:pt idx="2">
                  <c:v>107865</c:v>
                </c:pt>
                <c:pt idx="3">
                  <c:v>81927</c:v>
                </c:pt>
              </c:numCache>
            </c:numRef>
          </c:val>
          <c:extLst>
            <c:ext xmlns:c16="http://schemas.microsoft.com/office/drawing/2014/chart" uri="{C3380CC4-5D6E-409C-BE32-E72D297353CC}">
              <c16:uniqueId val="{00000003-4E77-460F-A206-9C8D9EA8E03B}"/>
            </c:ext>
          </c:extLst>
        </c:ser>
        <c:ser>
          <c:idx val="4"/>
          <c:order val="4"/>
          <c:tx>
            <c:strRef>
              <c:f>Sheet2!$F$3:$F$4</c:f>
              <c:strCache>
                <c:ptCount val="1"/>
                <c:pt idx="0">
                  <c:v>New Zealand</c:v>
                </c:pt>
              </c:strCache>
            </c:strRef>
          </c:tx>
          <c:spPr>
            <a:solidFill>
              <a:schemeClr val="accent5"/>
            </a:solidFill>
            <a:ln>
              <a:noFill/>
            </a:ln>
            <a:effectLst/>
          </c:spPr>
          <c:invertIfNegative val="0"/>
          <c:cat>
            <c:strRef>
              <c:f>Sheet2!$A$5:$A$9</c:f>
              <c:strCache>
                <c:ptCount val="4"/>
                <c:pt idx="0">
                  <c:v>CROPS</c:v>
                </c:pt>
                <c:pt idx="1">
                  <c:v>DRY FRUITS</c:v>
                </c:pt>
                <c:pt idx="2">
                  <c:v>Fruit</c:v>
                </c:pt>
                <c:pt idx="3">
                  <c:v>Vegetables</c:v>
                </c:pt>
              </c:strCache>
            </c:strRef>
          </c:cat>
          <c:val>
            <c:numRef>
              <c:f>Sheet2!$F$5:$F$9</c:f>
              <c:numCache>
                <c:formatCode>_("$"* #,##0.00_);_("$"* \(#,##0.00\);_("$"* "-"??_);_(@_)</c:formatCode>
                <c:ptCount val="4"/>
                <c:pt idx="0">
                  <c:v>72179</c:v>
                </c:pt>
                <c:pt idx="1">
                  <c:v>62339</c:v>
                </c:pt>
                <c:pt idx="2">
                  <c:v>21165</c:v>
                </c:pt>
                <c:pt idx="3">
                  <c:v>60720</c:v>
                </c:pt>
              </c:numCache>
            </c:numRef>
          </c:val>
          <c:extLst>
            <c:ext xmlns:c16="http://schemas.microsoft.com/office/drawing/2014/chart" uri="{C3380CC4-5D6E-409C-BE32-E72D297353CC}">
              <c16:uniqueId val="{00000004-4E77-460F-A206-9C8D9EA8E03B}"/>
            </c:ext>
          </c:extLst>
        </c:ser>
        <c:ser>
          <c:idx val="5"/>
          <c:order val="5"/>
          <c:tx>
            <c:strRef>
              <c:f>Sheet2!$G$3:$G$4</c:f>
              <c:strCache>
                <c:ptCount val="1"/>
                <c:pt idx="0">
                  <c:v>United Kingdom</c:v>
                </c:pt>
              </c:strCache>
            </c:strRef>
          </c:tx>
          <c:spPr>
            <a:solidFill>
              <a:schemeClr val="accent6"/>
            </a:solidFill>
            <a:ln>
              <a:noFill/>
            </a:ln>
            <a:effectLst/>
          </c:spPr>
          <c:invertIfNegative val="0"/>
          <c:cat>
            <c:strRef>
              <c:f>Sheet2!$A$5:$A$9</c:f>
              <c:strCache>
                <c:ptCount val="4"/>
                <c:pt idx="0">
                  <c:v>CROPS</c:v>
                </c:pt>
                <c:pt idx="1">
                  <c:v>DRY FRUITS</c:v>
                </c:pt>
                <c:pt idx="2">
                  <c:v>Fruit</c:v>
                </c:pt>
                <c:pt idx="3">
                  <c:v>Vegetables</c:v>
                </c:pt>
              </c:strCache>
            </c:strRef>
          </c:cat>
          <c:val>
            <c:numRef>
              <c:f>Sheet2!$G$5:$G$9</c:f>
              <c:numCache>
                <c:formatCode>_("$"* #,##0.00_);_("$"* \(#,##0.00\);_("$"* "-"??_);_(@_)</c:formatCode>
                <c:ptCount val="4"/>
                <c:pt idx="0">
                  <c:v>12917</c:v>
                </c:pt>
                <c:pt idx="1">
                  <c:v>22147</c:v>
                </c:pt>
                <c:pt idx="2">
                  <c:v>61898</c:v>
                </c:pt>
                <c:pt idx="3">
                  <c:v>79675</c:v>
                </c:pt>
              </c:numCache>
            </c:numRef>
          </c:val>
          <c:extLst>
            <c:ext xmlns:c16="http://schemas.microsoft.com/office/drawing/2014/chart" uri="{C3380CC4-5D6E-409C-BE32-E72D297353CC}">
              <c16:uniqueId val="{00000005-4E77-460F-A206-9C8D9EA8E03B}"/>
            </c:ext>
          </c:extLst>
        </c:ser>
        <c:ser>
          <c:idx val="6"/>
          <c:order val="6"/>
          <c:tx>
            <c:strRef>
              <c:f>Sheet2!$H$3:$H$4</c:f>
              <c:strCache>
                <c:ptCount val="1"/>
                <c:pt idx="0">
                  <c:v>United States</c:v>
                </c:pt>
              </c:strCache>
            </c:strRef>
          </c:tx>
          <c:spPr>
            <a:solidFill>
              <a:schemeClr val="accent1">
                <a:lumMod val="60000"/>
              </a:schemeClr>
            </a:solidFill>
            <a:ln>
              <a:noFill/>
            </a:ln>
            <a:effectLst/>
          </c:spPr>
          <c:invertIfNegative val="0"/>
          <c:cat>
            <c:strRef>
              <c:f>Sheet2!$A$5:$A$9</c:f>
              <c:strCache>
                <c:ptCount val="4"/>
                <c:pt idx="0">
                  <c:v>CROPS</c:v>
                </c:pt>
                <c:pt idx="1">
                  <c:v>DRY FRUITS</c:v>
                </c:pt>
                <c:pt idx="2">
                  <c:v>Fruit</c:v>
                </c:pt>
                <c:pt idx="3">
                  <c:v>Vegetables</c:v>
                </c:pt>
              </c:strCache>
            </c:strRef>
          </c:cat>
          <c:val>
            <c:numRef>
              <c:f>Sheet2!$H$5:$H$9</c:f>
              <c:numCache>
                <c:formatCode>_("$"* #,##0.00_);_("$"* \(#,##0.00\);_("$"* "-"??_);_(@_)</c:formatCode>
                <c:ptCount val="4"/>
                <c:pt idx="0">
                  <c:v>66020</c:v>
                </c:pt>
                <c:pt idx="1">
                  <c:v>48990</c:v>
                </c:pt>
                <c:pt idx="2">
                  <c:v>246020</c:v>
                </c:pt>
                <c:pt idx="3">
                  <c:v>202780</c:v>
                </c:pt>
              </c:numCache>
            </c:numRef>
          </c:val>
          <c:extLst>
            <c:ext xmlns:c16="http://schemas.microsoft.com/office/drawing/2014/chart" uri="{C3380CC4-5D6E-409C-BE32-E72D297353CC}">
              <c16:uniqueId val="{00000006-4E77-460F-A206-9C8D9EA8E03B}"/>
            </c:ext>
          </c:extLst>
        </c:ser>
        <c:dLbls>
          <c:showLegendKey val="0"/>
          <c:showVal val="0"/>
          <c:showCatName val="0"/>
          <c:showSerName val="0"/>
          <c:showPercent val="0"/>
          <c:showBubbleSize val="0"/>
        </c:dLbls>
        <c:gapWidth val="219"/>
        <c:overlap val="-27"/>
        <c:axId val="1742692688"/>
        <c:axId val="1737879488"/>
      </c:barChart>
      <c:catAx>
        <c:axId val="17426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879488"/>
        <c:crosses val="autoZero"/>
        <c:auto val="1"/>
        <c:lblAlgn val="ctr"/>
        <c:lblOffset val="100"/>
        <c:noMultiLvlLbl val="0"/>
      </c:catAx>
      <c:valAx>
        <c:axId val="1737879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9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276226</xdr:colOff>
      <xdr:row>2</xdr:row>
      <xdr:rowOff>0</xdr:rowOff>
    </xdr:from>
    <xdr:to>
      <xdr:col>15</xdr:col>
      <xdr:colOff>476251</xdr:colOff>
      <xdr:row>17</xdr:row>
      <xdr:rowOff>28575</xdr:rowOff>
    </xdr:to>
    <xdr:graphicFrame macro="">
      <xdr:nvGraphicFramePr>
        <xdr:cNvPr id="3" name="Chart 2">
          <a:extLst>
            <a:ext uri="{FF2B5EF4-FFF2-40B4-BE49-F238E27FC236}">
              <a16:creationId xmlns:a16="http://schemas.microsoft.com/office/drawing/2014/main" id="{F5DB8FBF-8F14-CB6B-48A2-CC4EDE9F1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26</xdr:row>
      <xdr:rowOff>42862</xdr:rowOff>
    </xdr:from>
    <xdr:to>
      <xdr:col>15</xdr:col>
      <xdr:colOff>1304925</xdr:colOff>
      <xdr:row>40</xdr:row>
      <xdr:rowOff>119062</xdr:rowOff>
    </xdr:to>
    <xdr:graphicFrame macro="">
      <xdr:nvGraphicFramePr>
        <xdr:cNvPr id="4" name="Chart 3">
          <a:extLst>
            <a:ext uri="{FF2B5EF4-FFF2-40B4-BE49-F238E27FC236}">
              <a16:creationId xmlns:a16="http://schemas.microsoft.com/office/drawing/2014/main" id="{E3534DA5-9156-8917-5C23-820B7B12A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38100</xdr:colOff>
      <xdr:row>12</xdr:row>
      <xdr:rowOff>95250</xdr:rowOff>
    </xdr:from>
    <xdr:to>
      <xdr:col>20</xdr:col>
      <xdr:colOff>342900</xdr:colOff>
      <xdr:row>26</xdr:row>
      <xdr:rowOff>171450</xdr:rowOff>
    </xdr:to>
    <xdr:graphicFrame macro="">
      <xdr:nvGraphicFramePr>
        <xdr:cNvPr id="2" name="Chart 1">
          <a:extLst>
            <a:ext uri="{FF2B5EF4-FFF2-40B4-BE49-F238E27FC236}">
              <a16:creationId xmlns:a16="http://schemas.microsoft.com/office/drawing/2014/main" id="{8D1FEA15-8AAA-F387-CE4A-27D708B99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xdr:colOff>
      <xdr:row>0</xdr:row>
      <xdr:rowOff>57151</xdr:rowOff>
    </xdr:from>
    <xdr:to>
      <xdr:col>20</xdr:col>
      <xdr:colOff>333375</xdr:colOff>
      <xdr:row>12</xdr:row>
      <xdr:rowOff>85725</xdr:rowOff>
    </xdr:to>
    <xdr:graphicFrame macro="">
      <xdr:nvGraphicFramePr>
        <xdr:cNvPr id="3" name="Chart 2">
          <a:extLst>
            <a:ext uri="{FF2B5EF4-FFF2-40B4-BE49-F238E27FC236}">
              <a16:creationId xmlns:a16="http://schemas.microsoft.com/office/drawing/2014/main" id="{F2AFF7FD-EFFC-58E9-4FB2-42C51C729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800100</xdr:colOff>
      <xdr:row>0</xdr:row>
      <xdr:rowOff>85725</xdr:rowOff>
    </xdr:from>
    <xdr:to>
      <xdr:col>8</xdr:col>
      <xdr:colOff>171450</xdr:colOff>
      <xdr:row>2</xdr:row>
      <xdr:rowOff>57150</xdr:rowOff>
    </xdr:to>
    <xdr:sp macro="" textlink="">
      <xdr:nvSpPr>
        <xdr:cNvPr id="4" name="TextBox 3">
          <a:extLst>
            <a:ext uri="{FF2B5EF4-FFF2-40B4-BE49-F238E27FC236}">
              <a16:creationId xmlns:a16="http://schemas.microsoft.com/office/drawing/2014/main" id="{BB4FC4B6-1CEB-6B0D-96DC-7DFD070E80A4}"/>
            </a:ext>
          </a:extLst>
        </xdr:cNvPr>
        <xdr:cNvSpPr txBox="1"/>
      </xdr:nvSpPr>
      <xdr:spPr>
        <a:xfrm>
          <a:off x="3752850" y="85725"/>
          <a:ext cx="39147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t>DASHBOARD</a:t>
          </a:r>
        </a:p>
      </xdr:txBody>
    </xdr:sp>
    <xdr:clientData/>
  </xdr:twoCellAnchor>
  <xdr:twoCellAnchor>
    <xdr:from>
      <xdr:col>2</xdr:col>
      <xdr:colOff>352425</xdr:colOff>
      <xdr:row>22</xdr:row>
      <xdr:rowOff>61912</xdr:rowOff>
    </xdr:from>
    <xdr:to>
      <xdr:col>7</xdr:col>
      <xdr:colOff>419100</xdr:colOff>
      <xdr:row>36</xdr:row>
      <xdr:rowOff>138112</xdr:rowOff>
    </xdr:to>
    <xdr:graphicFrame macro="">
      <xdr:nvGraphicFramePr>
        <xdr:cNvPr id="5" name="Chart 4">
          <a:extLst>
            <a:ext uri="{FF2B5EF4-FFF2-40B4-BE49-F238E27FC236}">
              <a16:creationId xmlns:a16="http://schemas.microsoft.com/office/drawing/2014/main" id="{6D8C932A-2BF7-B551-5010-302E5D697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114300</xdr:colOff>
      <xdr:row>1</xdr:row>
      <xdr:rowOff>57150</xdr:rowOff>
    </xdr:from>
    <xdr:to>
      <xdr:col>13</xdr:col>
      <xdr:colOff>114300</xdr:colOff>
      <xdr:row>14</xdr:row>
      <xdr:rowOff>104775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7CEF8CD4-FF31-858D-020A-C83AA8FD7C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867900" y="247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95250</xdr:colOff>
      <xdr:row>1</xdr:row>
      <xdr:rowOff>4762</xdr:rowOff>
    </xdr:from>
    <xdr:to>
      <xdr:col>23</xdr:col>
      <xdr:colOff>0</xdr:colOff>
      <xdr:row>16</xdr:row>
      <xdr:rowOff>95250</xdr:rowOff>
    </xdr:to>
    <xdr:graphicFrame macro="">
      <xdr:nvGraphicFramePr>
        <xdr:cNvPr id="2" name="Chart 1">
          <a:extLst>
            <a:ext uri="{FF2B5EF4-FFF2-40B4-BE49-F238E27FC236}">
              <a16:creationId xmlns:a16="http://schemas.microsoft.com/office/drawing/2014/main" id="{664501D0-A341-1077-323F-88E5C9C3F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09" refreshedDate="45829.595763310186" createdVersion="8" refreshedVersion="8" minRefreshableVersion="3" recordCount="312" xr:uid="{BC8801F7-5F6D-48BC-82E1-507614B992A7}">
  <cacheSource type="worksheet">
    <worksheetSource ref="A1:H313" sheet="Dataset"/>
  </cacheSource>
  <cacheFields count="8">
    <cacheField name="Order ID" numFmtId="0">
      <sharedItems containsSemiMixedTypes="0" containsString="0" containsNumber="1" containsInteger="1" minValue="1" maxValue="312"/>
    </cacheField>
    <cacheField name="Product" numFmtId="0">
      <sharedItems/>
    </cacheField>
    <cacheField name="Category" numFmtId="0">
      <sharedItems count="4">
        <s v="Vegetables"/>
        <s v="Fruit"/>
        <s v="DRY FRUITS"/>
        <s v="CROPS"/>
      </sharedItems>
    </cacheField>
    <cacheField name="Amount" numFmtId="44">
      <sharedItems containsSemiMixedTypes="0" containsString="0" containsNumber="1" containsInteger="1" minValue="107" maxValue="20213" count="310">
        <n v="4270"/>
        <n v="8239"/>
        <n v="617"/>
        <n v="8384"/>
        <n v="2626"/>
        <n v="3610"/>
        <n v="9062"/>
        <n v="6906"/>
        <n v="2417"/>
        <n v="7431"/>
        <n v="8250"/>
        <n v="7012"/>
        <n v="1903"/>
        <n v="2824"/>
        <n v="6946"/>
        <n v="2320"/>
        <n v="2116"/>
        <n v="1135"/>
        <n v="3595"/>
        <n v="1161"/>
        <n v="2256"/>
        <n v="1004"/>
        <n v="3642"/>
        <n v="4582"/>
        <n v="3559"/>
        <n v="5154"/>
        <n v="7388"/>
        <n v="7163"/>
        <n v="5101"/>
        <n v="7602"/>
        <n v="1641"/>
        <n v="8892"/>
        <n v="2060"/>
        <n v="1557"/>
        <n v="6509"/>
        <n v="5718"/>
        <n v="7655"/>
        <n v="9116"/>
        <n v="2795"/>
        <n v="5084"/>
        <n v="8941"/>
        <n v="5341"/>
        <n v="135"/>
        <n v="9400"/>
        <n v="6045"/>
        <n v="5820"/>
        <n v="8887"/>
        <n v="6982"/>
        <n v="4029"/>
        <n v="3665"/>
        <n v="4781"/>
        <n v="3663"/>
        <n v="6331"/>
        <n v="4364"/>
        <n v="607"/>
        <n v="1054"/>
        <n v="7659"/>
        <n v="277"/>
        <n v="235"/>
        <n v="1113"/>
        <n v="1128"/>
        <n v="9231"/>
        <n v="4387"/>
        <n v="2763"/>
        <n v="7898"/>
        <n v="2427"/>
        <n v="8663"/>
        <n v="2789"/>
        <n v="4054"/>
        <n v="2262"/>
        <n v="5600"/>
        <n v="5787"/>
        <n v="6295"/>
        <n v="474"/>
        <n v="4325"/>
        <n v="592"/>
        <n v="4330"/>
        <n v="9405"/>
        <n v="7671"/>
        <n v="5791"/>
        <n v="6007"/>
        <n v="5030"/>
        <n v="6763"/>
        <n v="4248"/>
        <n v="9543"/>
        <n v="2054"/>
        <n v="7094"/>
        <n v="6087"/>
        <n v="4264"/>
        <n v="9333"/>
        <n v="8775"/>
        <n v="2011"/>
        <n v="5632"/>
        <n v="4904"/>
        <n v="1002"/>
        <n v="8141"/>
        <n v="3644"/>
        <n v="1380"/>
        <n v="8354"/>
        <n v="5182"/>
        <n v="2193"/>
        <n v="3647"/>
        <n v="4104"/>
        <n v="7457"/>
        <n v="3767"/>
        <n v="4685"/>
        <n v="3917"/>
        <n v="521"/>
        <n v="5605"/>
        <n v="9630"/>
        <n v="6941"/>
        <n v="7231"/>
        <n v="8891"/>
        <n v="107"/>
        <n v="4243"/>
        <n v="4514"/>
        <n v="5480"/>
        <n v="5002"/>
        <n v="8530"/>
        <n v="4819"/>
        <n v="6343"/>
        <n v="2318"/>
        <n v="220"/>
        <n v="6341"/>
        <n v="330"/>
        <n v="3027"/>
        <n v="850"/>
        <n v="8986"/>
        <n v="3800"/>
        <n v="5751"/>
        <n v="1704"/>
        <n v="7966"/>
        <n v="852"/>
        <n v="8416"/>
        <n v="7144"/>
        <n v="7854"/>
        <n v="859"/>
        <n v="8049"/>
        <n v="2836"/>
        <n v="1743"/>
        <n v="3844"/>
        <n v="7490"/>
        <n v="4483"/>
        <n v="7333"/>
        <n v="7654"/>
        <n v="3944"/>
        <n v="5761"/>
        <n v="6864"/>
        <n v="4016"/>
        <n v="1841"/>
        <n v="424"/>
        <n v="8765"/>
        <n v="5583"/>
        <n v="4390"/>
        <n v="352"/>
        <n v="8489"/>
        <n v="7090"/>
        <n v="7880"/>
        <n v="3861"/>
        <n v="7927"/>
        <n v="6162"/>
        <n v="5523"/>
        <n v="5936"/>
        <n v="7251"/>
        <n v="6187"/>
        <n v="3210"/>
        <n v="682"/>
        <n v="793"/>
        <n v="5346"/>
        <n v="7103"/>
        <n v="4603"/>
        <n v="8160"/>
        <n v="7171"/>
        <n v="3552"/>
        <n v="7273"/>
        <n v="2402"/>
        <n v="1197"/>
        <n v="5015"/>
        <n v="5818"/>
        <n v="4399"/>
        <n v="3011"/>
        <n v="4715"/>
        <n v="5321"/>
        <n v="8894"/>
        <n v="4846"/>
        <n v="284"/>
        <n v="8283"/>
        <n v="9990"/>
        <n v="9014"/>
        <n v="1942"/>
        <n v="7223"/>
        <n v="4673"/>
        <n v="9104"/>
        <n v="6078"/>
        <n v="3278"/>
        <n v="136"/>
        <n v="8377"/>
        <n v="2382"/>
        <n v="8702"/>
        <n v="5021"/>
        <n v="1760"/>
        <n v="4766"/>
        <n v="1541"/>
        <n v="2782"/>
        <n v="2455"/>
        <n v="4512"/>
        <n v="8752"/>
        <n v="9127"/>
        <n v="1777"/>
        <n v="680"/>
        <n v="958"/>
        <n v="2613"/>
        <n v="2965"/>
        <n v="3141"/>
        <n v="3317"/>
        <n v="3493"/>
        <n v="3669"/>
        <n v="3845"/>
        <n v="4021"/>
        <n v="4197"/>
        <n v="4373"/>
        <n v="4549"/>
        <n v="4725"/>
        <n v="4901"/>
        <n v="5077"/>
        <n v="5253"/>
        <n v="5429"/>
        <n v="5781"/>
        <n v="5957"/>
        <n v="6133"/>
        <n v="6309"/>
        <n v="6485"/>
        <n v="6661"/>
        <n v="6837"/>
        <n v="7013"/>
        <n v="7189"/>
        <n v="7365"/>
        <n v="7541"/>
        <n v="7717"/>
        <n v="7893"/>
        <n v="8069"/>
        <n v="8245"/>
        <n v="8421"/>
        <n v="8597"/>
        <n v="8773"/>
        <n v="8949"/>
        <n v="9125"/>
        <n v="9301"/>
        <n v="9477"/>
        <n v="9653"/>
        <n v="9829"/>
        <n v="10005"/>
        <n v="10181"/>
        <n v="10357"/>
        <n v="10533"/>
        <n v="10709"/>
        <n v="10885"/>
        <n v="11061"/>
        <n v="11237"/>
        <n v="11413"/>
        <n v="11589"/>
        <n v="11765"/>
        <n v="11941"/>
        <n v="12117"/>
        <n v="12293"/>
        <n v="12469"/>
        <n v="12645"/>
        <n v="12821"/>
        <n v="12997"/>
        <n v="13173"/>
        <n v="13349"/>
        <n v="13525"/>
        <n v="13701"/>
        <n v="13877"/>
        <n v="14053"/>
        <n v="14229"/>
        <n v="14405"/>
        <n v="14581"/>
        <n v="14757"/>
        <n v="14933"/>
        <n v="15109"/>
        <n v="15285"/>
        <n v="15461"/>
        <n v="15637"/>
        <n v="15813"/>
        <n v="15989"/>
        <n v="16165"/>
        <n v="16341"/>
        <n v="16517"/>
        <n v="16693"/>
        <n v="16869"/>
        <n v="17045"/>
        <n v="17221"/>
        <n v="17397"/>
        <n v="17573"/>
        <n v="17749"/>
        <n v="17925"/>
        <n v="18101"/>
        <n v="18277"/>
        <n v="18453"/>
        <n v="18629"/>
        <n v="18805"/>
        <n v="18981"/>
        <n v="19157"/>
        <n v="19333"/>
        <n v="19509"/>
        <n v="19685"/>
        <n v="19861"/>
        <n v="20037"/>
        <n v="20213"/>
      </sharedItems>
    </cacheField>
    <cacheField name="Date" numFmtId="14">
      <sharedItems containsSemiMixedTypes="0" containsNonDate="0" containsDate="1" containsString="0" minDate="2020-01-02T00:00:00" maxDate="2023-12-27T00:00:00"/>
    </cacheField>
    <cacheField name="Country" numFmtId="0">
      <sharedItems count="7">
        <s v="United States"/>
        <s v="United Kingdom"/>
        <s v="Canada"/>
        <s v="Germany"/>
        <s v="Australia"/>
        <s v="New Zealand"/>
        <s v="France"/>
      </sharedItems>
    </cacheField>
    <cacheField name="Date Of Export" numFmtId="14">
      <sharedItems containsSemiMixedTypes="0" containsNonDate="0" containsDate="1" containsString="0" minDate="2018-01-01T00:00:00" maxDate="2023-12-26T00:00:00"/>
    </cacheField>
    <cacheField name="TAX" numFmtId="0">
      <sharedItems containsSemiMixedTypes="0" containsString="0" containsNumber="1" minValue="0" maxValue="3031.95"/>
    </cacheField>
  </cacheFields>
  <extLst>
    <ext xmlns:x14="http://schemas.microsoft.com/office/spreadsheetml/2009/9/main" uri="{725AE2AE-9491-48be-B2B4-4EB974FC3084}">
      <x14:pivotCacheDefinition pivotCacheId="14670627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09" refreshedDate="46295.432263310184" createdVersion="8" refreshedVersion="8" minRefreshableVersion="3" recordCount="29" xr:uid="{E28FF7D2-71D8-49CC-84BC-C6D53FA8FF8E}">
  <cacheSource type="worksheet">
    <worksheetSource ref="A1:G30" sheet="Data_Set"/>
  </cacheSource>
  <cacheFields count="7">
    <cacheField name="Product ID" numFmtId="0">
      <sharedItems/>
    </cacheField>
    <cacheField name="Product Name" numFmtId="0">
      <sharedItems count="29">
        <s v="Measuring cups"/>
        <s v="Ladle"/>
        <s v="Slotted spoon"/>
        <s v="12&quot; copper skillet"/>
        <s v="Garlic press"/>
        <s v="Can opener"/>
        <s v="Foil wrap"/>
        <s v="Colander1"/>
        <s v="Mesh sieve"/>
        <s v="Cheesecloth"/>
        <s v="9&quot; copper pot"/>
        <s v="Ramekin"/>
        <s v="Afdert"/>
        <s v="ServerScrew"/>
        <s v="CatCableF40"/>
        <s v="TFTSMonitor"/>
        <s v="Oil Spray"/>
        <s v="Bottle Opener"/>
        <s v="Pasta Server"/>
        <s v="Frying Pan"/>
        <s v="Mountain Helmet"/>
        <s v="Cycling Jacket"/>
        <s v="Spatula Set"/>
        <s v="Tire Pump"/>
        <s v="Oven Gloves"/>
        <s v="Blender Bottle"/>
        <s v="Olive Oil Spray"/>
        <s v="Mixer Grinder"/>
        <s v="Bread Basket Set"/>
      </sharedItems>
    </cacheField>
    <cacheField name="Product Price" numFmtId="44">
      <sharedItems containsSemiMixedTypes="0" containsString="0" containsNumber="1" minValue="2.89" maxValue="91.89"/>
    </cacheField>
    <cacheField name="Units" numFmtId="0">
      <sharedItems containsSemiMixedTypes="0" containsString="0" containsNumber="1" containsInteger="1" minValue="2" maxValue="25"/>
    </cacheField>
    <cacheField name="TAX" numFmtId="9">
      <sharedItems containsSemiMixedTypes="0" containsString="0" containsNumber="1" minValue="0.02" maxValue="0.16"/>
    </cacheField>
    <cacheField name="Shipping Area" numFmtId="0">
      <sharedItems count="17">
        <s v="DXB"/>
        <s v="ABD"/>
        <s v="SHJ"/>
        <s v="AIL"/>
        <s v="CA"/>
        <s v="TY"/>
        <s v="KU"/>
        <s v="HY"/>
        <s v="NY"/>
        <s v="UK"/>
        <s v="MN"/>
        <s v="DX"/>
        <s v="AL"/>
        <s v="UKM"/>
        <s v="DMM"/>
        <s v="MSQ"/>
        <s v="YYZ"/>
      </sharedItems>
    </cacheField>
    <cacheField name="Shipping Cost" numFmtId="9">
      <sharedItems containsSemiMixedTypes="0" containsString="0" containsNumber="1" minValue="0.04" maxValue="0.2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n v="1"/>
    <s v="Carrots"/>
    <x v="0"/>
    <x v="0"/>
    <d v="2021-02-06T00:00:00"/>
    <x v="0"/>
    <d v="2022-11-24T00:00:00"/>
    <n v="0"/>
  </r>
  <r>
    <n v="2"/>
    <s v="Broccoli"/>
    <x v="0"/>
    <x v="1"/>
    <d v="2022-09-09T00:00:00"/>
    <x v="1"/>
    <d v="2021-11-29T00:00:00"/>
    <n v="823.90000000000009"/>
  </r>
  <r>
    <n v="3"/>
    <s v="Banana"/>
    <x v="1"/>
    <x v="2"/>
    <d v="2022-06-15T00:00:00"/>
    <x v="0"/>
    <d v="2022-12-08T00:00:00"/>
    <n v="0"/>
  </r>
  <r>
    <n v="4"/>
    <s v="Nuts"/>
    <x v="2"/>
    <x v="3"/>
    <d v="2023-03-06T00:00:00"/>
    <x v="2"/>
    <d v="2019-07-20T00:00:00"/>
    <n v="838.40000000000009"/>
  </r>
  <r>
    <n v="5"/>
    <s v="Beans"/>
    <x v="0"/>
    <x v="4"/>
    <d v="2020-06-23T00:00:00"/>
    <x v="3"/>
    <d v="2018-01-01T00:00:00"/>
    <n v="0"/>
  </r>
  <r>
    <n v="6"/>
    <s v="Orange"/>
    <x v="0"/>
    <x v="5"/>
    <d v="2022-08-29T00:00:00"/>
    <x v="0"/>
    <d v="2021-11-03T00:00:00"/>
    <n v="0"/>
  </r>
  <r>
    <n v="7"/>
    <s v="Broccoli"/>
    <x v="0"/>
    <x v="6"/>
    <d v="2022-12-03T00:00:00"/>
    <x v="4"/>
    <d v="2022-08-15T00:00:00"/>
    <n v="906.2"/>
  </r>
  <r>
    <n v="8"/>
    <s v="Banana"/>
    <x v="1"/>
    <x v="7"/>
    <d v="2022-12-15T00:00:00"/>
    <x v="5"/>
    <d v="2019-12-09T00:00:00"/>
    <n v="690.6"/>
  </r>
  <r>
    <n v="9"/>
    <s v="Apple"/>
    <x v="2"/>
    <x v="8"/>
    <d v="2023-11-20T00:00:00"/>
    <x v="6"/>
    <d v="2022-10-31T00:00:00"/>
    <n v="0"/>
  </r>
  <r>
    <n v="10"/>
    <s v="Apple"/>
    <x v="3"/>
    <x v="9"/>
    <d v="2022-12-26T00:00:00"/>
    <x v="2"/>
    <d v="2018-08-24T00:00:00"/>
    <n v="743.1"/>
  </r>
  <r>
    <n v="11"/>
    <s v="Banana"/>
    <x v="1"/>
    <x v="10"/>
    <d v="2021-01-14T00:00:00"/>
    <x v="3"/>
    <d v="2022-09-15T00:00:00"/>
    <n v="825"/>
  </r>
  <r>
    <n v="12"/>
    <s v="Broccoli"/>
    <x v="0"/>
    <x v="11"/>
    <d v="2022-04-17T00:00:00"/>
    <x v="0"/>
    <d v="2018-05-04T00:00:00"/>
    <n v="701.2"/>
  </r>
  <r>
    <n v="13"/>
    <s v="Carrots"/>
    <x v="1"/>
    <x v="12"/>
    <d v="2023-12-10T00:00:00"/>
    <x v="3"/>
    <d v="2019-08-18T00:00:00"/>
    <n v="0"/>
  </r>
  <r>
    <n v="14"/>
    <s v="Broccoli"/>
    <x v="2"/>
    <x v="13"/>
    <d v="2023-07-30T00:00:00"/>
    <x v="0"/>
    <d v="2022-06-07T00:00:00"/>
    <n v="0"/>
  </r>
  <r>
    <n v="15"/>
    <s v="Apple"/>
    <x v="3"/>
    <x v="14"/>
    <d v="2020-12-22T00:00:00"/>
    <x v="1"/>
    <d v="2020-12-09T00:00:00"/>
    <n v="694.6"/>
  </r>
  <r>
    <n v="16"/>
    <s v="Banana"/>
    <x v="1"/>
    <x v="15"/>
    <d v="2023-08-20T00:00:00"/>
    <x v="0"/>
    <d v="2018-10-18T00:00:00"/>
    <n v="0"/>
  </r>
  <r>
    <n v="17"/>
    <s v="Banana"/>
    <x v="0"/>
    <x v="16"/>
    <d v="2023-08-16T00:00:00"/>
    <x v="2"/>
    <d v="2020-03-21T00:00:00"/>
    <n v="0"/>
  </r>
  <r>
    <n v="18"/>
    <s v="Banana"/>
    <x v="0"/>
    <x v="17"/>
    <d v="2021-05-31T00:00:00"/>
    <x v="3"/>
    <d v="2021-03-03T00:00:00"/>
    <n v="0"/>
  </r>
  <r>
    <n v="19"/>
    <s v="Broccoli"/>
    <x v="0"/>
    <x v="18"/>
    <d v="2020-02-11T00:00:00"/>
    <x v="0"/>
    <d v="2019-02-14T00:00:00"/>
    <n v="0"/>
  </r>
  <r>
    <n v="20"/>
    <s v="Apple"/>
    <x v="1"/>
    <x v="19"/>
    <d v="2020-05-08T00:00:00"/>
    <x v="4"/>
    <d v="2019-12-02T00:00:00"/>
    <n v="0"/>
  </r>
  <r>
    <n v="21"/>
    <s v="Orange"/>
    <x v="2"/>
    <x v="20"/>
    <d v="2021-07-16T00:00:00"/>
    <x v="5"/>
    <d v="2019-04-25T00:00:00"/>
    <n v="0"/>
  </r>
  <r>
    <n v="22"/>
    <s v="Banana"/>
    <x v="3"/>
    <x v="21"/>
    <d v="2023-07-10T00:00:00"/>
    <x v="6"/>
    <d v="2023-12-20T00:00:00"/>
    <n v="0"/>
  </r>
  <r>
    <n v="23"/>
    <s v="Banana"/>
    <x v="1"/>
    <x v="22"/>
    <d v="2021-09-29T00:00:00"/>
    <x v="2"/>
    <d v="2021-09-22T00:00:00"/>
    <n v="0"/>
  </r>
  <r>
    <n v="24"/>
    <s v="Banana"/>
    <x v="0"/>
    <x v="23"/>
    <d v="2021-07-01T00:00:00"/>
    <x v="3"/>
    <d v="2022-12-13T00:00:00"/>
    <n v="0"/>
  </r>
  <r>
    <n v="25"/>
    <s v="Beans"/>
    <x v="1"/>
    <x v="24"/>
    <d v="2023-11-25T00:00:00"/>
    <x v="0"/>
    <d v="2022-10-17T00:00:00"/>
    <n v="0"/>
  </r>
  <r>
    <n v="26"/>
    <s v="Carrots"/>
    <x v="2"/>
    <x v="25"/>
    <d v="2020-05-06T00:00:00"/>
    <x v="3"/>
    <d v="2019-08-19T00:00:00"/>
    <n v="515.4"/>
  </r>
  <r>
    <n v="27"/>
    <s v="Mango"/>
    <x v="3"/>
    <x v="26"/>
    <d v="2023-08-27T00:00:00"/>
    <x v="0"/>
    <d v="2022-01-08T00:00:00"/>
    <n v="738.80000000000007"/>
  </r>
  <r>
    <n v="28"/>
    <s v="Beans"/>
    <x v="1"/>
    <x v="27"/>
    <d v="2023-05-28T00:00:00"/>
    <x v="1"/>
    <d v="2021-04-08T00:00:00"/>
    <n v="716.30000000000007"/>
  </r>
  <r>
    <n v="29"/>
    <s v="Beans"/>
    <x v="0"/>
    <x v="28"/>
    <d v="2021-09-22T00:00:00"/>
    <x v="3"/>
    <d v="2021-05-14T00:00:00"/>
    <n v="510.1"/>
  </r>
  <r>
    <n v="30"/>
    <s v="Apple"/>
    <x v="0"/>
    <x v="29"/>
    <d v="2023-10-07T00:00:00"/>
    <x v="6"/>
    <d v="2020-05-03T00:00:00"/>
    <n v="760.2"/>
  </r>
  <r>
    <n v="31"/>
    <s v="Mango"/>
    <x v="0"/>
    <x v="30"/>
    <d v="2023-06-28T00:00:00"/>
    <x v="0"/>
    <d v="2022-03-12T00:00:00"/>
    <n v="0"/>
  </r>
  <r>
    <n v="32"/>
    <s v="Apple"/>
    <x v="1"/>
    <x v="31"/>
    <d v="2022-05-26T00:00:00"/>
    <x v="4"/>
    <d v="2021-06-18T00:00:00"/>
    <n v="889.2"/>
  </r>
  <r>
    <n v="33"/>
    <s v="Apple"/>
    <x v="2"/>
    <x v="32"/>
    <d v="2020-09-24T00:00:00"/>
    <x v="6"/>
    <d v="2021-09-09T00:00:00"/>
    <n v="0"/>
  </r>
  <r>
    <n v="34"/>
    <s v="Broccoli"/>
    <x v="3"/>
    <x v="33"/>
    <d v="2022-10-26T00:00:00"/>
    <x v="3"/>
    <d v="2023-02-23T00:00:00"/>
    <n v="0"/>
  </r>
  <r>
    <n v="35"/>
    <s v="Apple"/>
    <x v="1"/>
    <x v="34"/>
    <d v="2020-10-26T00:00:00"/>
    <x v="6"/>
    <d v="2023-12-24T00:00:00"/>
    <n v="650.90000000000009"/>
  </r>
  <r>
    <n v="36"/>
    <s v="Apple"/>
    <x v="0"/>
    <x v="35"/>
    <d v="2021-06-02T00:00:00"/>
    <x v="4"/>
    <d v="2023-12-25T00:00:00"/>
    <n v="571.80000000000007"/>
  </r>
  <r>
    <n v="37"/>
    <s v="Apple"/>
    <x v="1"/>
    <x v="36"/>
    <d v="2022-07-21T00:00:00"/>
    <x v="0"/>
    <d v="2018-05-29T00:00:00"/>
    <n v="765.5"/>
  </r>
  <r>
    <n v="38"/>
    <s v="Carrots"/>
    <x v="2"/>
    <x v="37"/>
    <d v="2021-07-07T00:00:00"/>
    <x v="1"/>
    <d v="2019-11-07T00:00:00"/>
    <n v="911.6"/>
  </r>
  <r>
    <n v="39"/>
    <s v="Banana"/>
    <x v="3"/>
    <x v="38"/>
    <d v="2020-01-09T00:00:00"/>
    <x v="0"/>
    <d v="2020-09-06T00:00:00"/>
    <n v="0"/>
  </r>
  <r>
    <n v="40"/>
    <s v="Banana"/>
    <x v="1"/>
    <x v="39"/>
    <d v="2022-04-12T00:00:00"/>
    <x v="0"/>
    <d v="2019-04-26T00:00:00"/>
    <n v="508.40000000000003"/>
  </r>
  <r>
    <n v="41"/>
    <s v="Carrots"/>
    <x v="0"/>
    <x v="40"/>
    <d v="2023-03-22T00:00:00"/>
    <x v="1"/>
    <d v="2019-09-30T00:00:00"/>
    <n v="894.1"/>
  </r>
  <r>
    <n v="42"/>
    <s v="Broccoli"/>
    <x v="0"/>
    <x v="41"/>
    <d v="2021-09-16T00:00:00"/>
    <x v="6"/>
    <d v="2018-08-05T00:00:00"/>
    <n v="534.1"/>
  </r>
  <r>
    <n v="43"/>
    <s v="Banana"/>
    <x v="0"/>
    <x v="42"/>
    <d v="2022-08-30T00:00:00"/>
    <x v="2"/>
    <d v="2023-01-10T00:00:00"/>
    <n v="0"/>
  </r>
  <r>
    <n v="44"/>
    <s v="Banana"/>
    <x v="1"/>
    <x v="43"/>
    <d v="2021-09-04T00:00:00"/>
    <x v="4"/>
    <d v="2021-02-11T00:00:00"/>
    <n v="940"/>
  </r>
  <r>
    <n v="45"/>
    <s v="Beans"/>
    <x v="2"/>
    <x v="44"/>
    <d v="2021-04-03T00:00:00"/>
    <x v="3"/>
    <d v="2022-06-01T00:00:00"/>
    <n v="604.5"/>
  </r>
  <r>
    <n v="46"/>
    <s v="Apple"/>
    <x v="3"/>
    <x v="45"/>
    <d v="2022-08-28T00:00:00"/>
    <x v="5"/>
    <d v="2020-05-01T00:00:00"/>
    <n v="582"/>
  </r>
  <r>
    <n v="47"/>
    <s v="Orange"/>
    <x v="1"/>
    <x v="46"/>
    <d v="2022-08-09T00:00:00"/>
    <x v="3"/>
    <d v="2023-07-20T00:00:00"/>
    <n v="888.7"/>
  </r>
  <r>
    <n v="48"/>
    <s v="Orange"/>
    <x v="0"/>
    <x v="47"/>
    <d v="2020-05-11T00:00:00"/>
    <x v="0"/>
    <d v="2022-01-15T00:00:00"/>
    <n v="698.2"/>
  </r>
  <r>
    <n v="49"/>
    <s v="Banana"/>
    <x v="1"/>
    <x v="48"/>
    <d v="2022-11-28T00:00:00"/>
    <x v="4"/>
    <d v="2021-11-20T00:00:00"/>
    <n v="0"/>
  </r>
  <r>
    <n v="50"/>
    <s v="Carrots"/>
    <x v="2"/>
    <x v="49"/>
    <d v="2020-09-09T00:00:00"/>
    <x v="3"/>
    <d v="2018-04-21T00:00:00"/>
    <n v="0"/>
  </r>
  <r>
    <n v="51"/>
    <s v="Banana"/>
    <x v="3"/>
    <x v="50"/>
    <d v="2023-06-05T00:00:00"/>
    <x v="6"/>
    <d v="2022-09-01T00:00:00"/>
    <n v="0"/>
  </r>
  <r>
    <n v="52"/>
    <s v="Mango"/>
    <x v="1"/>
    <x v="51"/>
    <d v="2022-06-17T00:00:00"/>
    <x v="4"/>
    <d v="2019-03-27T00:00:00"/>
    <n v="0"/>
  </r>
  <r>
    <n v="53"/>
    <s v="Apple"/>
    <x v="0"/>
    <x v="52"/>
    <d v="2021-11-25T00:00:00"/>
    <x v="6"/>
    <d v="2022-08-11T00:00:00"/>
    <n v="633.1"/>
  </r>
  <r>
    <n v="54"/>
    <s v="Apple"/>
    <x v="0"/>
    <x v="53"/>
    <d v="2020-12-19T00:00:00"/>
    <x v="2"/>
    <d v="2023-05-05T00:00:00"/>
    <n v="0"/>
  </r>
  <r>
    <n v="55"/>
    <s v="Carrots"/>
    <x v="0"/>
    <x v="54"/>
    <d v="2020-06-07T00:00:00"/>
    <x v="1"/>
    <d v="2022-05-03T00:00:00"/>
    <n v="0"/>
  </r>
  <r>
    <n v="56"/>
    <s v="Banana"/>
    <x v="1"/>
    <x v="55"/>
    <d v="2021-09-15T00:00:00"/>
    <x v="5"/>
    <d v="2022-06-29T00:00:00"/>
    <n v="0"/>
  </r>
  <r>
    <n v="57"/>
    <s v="Carrots"/>
    <x v="2"/>
    <x v="56"/>
    <d v="2021-11-02T00:00:00"/>
    <x v="0"/>
    <d v="2019-03-21T00:00:00"/>
    <n v="765.90000000000009"/>
  </r>
  <r>
    <n v="58"/>
    <s v="Broccoli"/>
    <x v="3"/>
    <x v="57"/>
    <d v="2023-03-12T00:00:00"/>
    <x v="3"/>
    <d v="2020-10-27T00:00:00"/>
    <n v="0"/>
  </r>
  <r>
    <n v="59"/>
    <s v="Banana"/>
    <x v="1"/>
    <x v="58"/>
    <d v="2023-04-25T00:00:00"/>
    <x v="0"/>
    <d v="2019-11-14T00:00:00"/>
    <n v="0"/>
  </r>
  <r>
    <n v="60"/>
    <s v="Orange"/>
    <x v="0"/>
    <x v="59"/>
    <d v="2023-09-04T00:00:00"/>
    <x v="4"/>
    <d v="2021-01-02T00:00:00"/>
    <n v="0"/>
  </r>
  <r>
    <n v="61"/>
    <s v="Apple"/>
    <x v="1"/>
    <x v="60"/>
    <d v="2020-09-25T00:00:00"/>
    <x v="0"/>
    <d v="2021-10-28T00:00:00"/>
    <n v="0"/>
  </r>
  <r>
    <n v="62"/>
    <s v="Broccoli"/>
    <x v="2"/>
    <x v="61"/>
    <d v="2021-11-05T00:00:00"/>
    <x v="2"/>
    <d v="2023-04-15T00:00:00"/>
    <n v="923.1"/>
  </r>
  <r>
    <n v="63"/>
    <s v="Banana"/>
    <x v="3"/>
    <x v="62"/>
    <d v="2022-10-30T00:00:00"/>
    <x v="0"/>
    <d v="2021-03-22T00:00:00"/>
    <n v="0"/>
  </r>
  <r>
    <n v="64"/>
    <s v="Apple"/>
    <x v="1"/>
    <x v="63"/>
    <d v="2022-11-29T00:00:00"/>
    <x v="2"/>
    <d v="2020-12-21T00:00:00"/>
    <n v="0"/>
  </r>
  <r>
    <n v="65"/>
    <s v="Banana"/>
    <x v="0"/>
    <x v="64"/>
    <d v="2020-09-14T00:00:00"/>
    <x v="1"/>
    <d v="2020-01-21T00:00:00"/>
    <n v="789.80000000000007"/>
  </r>
  <r>
    <n v="66"/>
    <s v="Banana"/>
    <x v="0"/>
    <x v="65"/>
    <d v="2022-08-19T00:00:00"/>
    <x v="6"/>
    <d v="2022-04-16T00:00:00"/>
    <n v="0"/>
  </r>
  <r>
    <n v="67"/>
    <s v="Banana"/>
    <x v="0"/>
    <x v="66"/>
    <d v="2023-04-16T00:00:00"/>
    <x v="5"/>
    <d v="2020-11-11T00:00:00"/>
    <n v="866.30000000000007"/>
  </r>
  <r>
    <n v="68"/>
    <s v="Carrots"/>
    <x v="1"/>
    <x v="67"/>
    <d v="2021-11-22T00:00:00"/>
    <x v="3"/>
    <d v="2023-05-09T00:00:00"/>
    <n v="0"/>
  </r>
  <r>
    <n v="69"/>
    <s v="Banana"/>
    <x v="2"/>
    <x v="68"/>
    <d v="2022-12-02T00:00:00"/>
    <x v="0"/>
    <d v="2021-07-10T00:00:00"/>
    <n v="0"/>
  </r>
  <r>
    <n v="70"/>
    <s v="Mango"/>
    <x v="3"/>
    <x v="69"/>
    <d v="2020-05-08T00:00:00"/>
    <x v="0"/>
    <d v="2018-03-07T00:00:00"/>
    <n v="0"/>
  </r>
  <r>
    <n v="71"/>
    <s v="Mango"/>
    <x v="1"/>
    <x v="70"/>
    <d v="2023-01-31T00:00:00"/>
    <x v="1"/>
    <d v="2018-09-17T00:00:00"/>
    <n v="560"/>
  </r>
  <r>
    <n v="72"/>
    <s v="Banana"/>
    <x v="0"/>
    <x v="71"/>
    <d v="2023-09-13T00:00:00"/>
    <x v="0"/>
    <d v="2019-12-30T00:00:00"/>
    <n v="578.70000000000005"/>
  </r>
  <r>
    <n v="73"/>
    <s v="Orange"/>
    <x v="1"/>
    <x v="72"/>
    <d v="2023-10-28T00:00:00"/>
    <x v="2"/>
    <d v="2022-04-01T00:00:00"/>
    <n v="629.5"/>
  </r>
  <r>
    <n v="74"/>
    <s v="Banana"/>
    <x v="2"/>
    <x v="73"/>
    <d v="2020-06-02T00:00:00"/>
    <x v="3"/>
    <d v="2022-03-01T00:00:00"/>
    <n v="0"/>
  </r>
  <r>
    <n v="75"/>
    <s v="Apple"/>
    <x v="3"/>
    <x v="74"/>
    <d v="2022-02-23T00:00:00"/>
    <x v="6"/>
    <d v="2019-10-30T00:00:00"/>
    <n v="0"/>
  </r>
  <r>
    <n v="76"/>
    <s v="Banana"/>
    <x v="1"/>
    <x v="75"/>
    <d v="2020-06-14T00:00:00"/>
    <x v="0"/>
    <d v="2020-06-18T00:00:00"/>
    <n v="0"/>
  </r>
  <r>
    <n v="77"/>
    <s v="Orange"/>
    <x v="0"/>
    <x v="76"/>
    <d v="2023-09-12T00:00:00"/>
    <x v="0"/>
    <d v="2018-12-19T00:00:00"/>
    <n v="0"/>
  </r>
  <r>
    <n v="78"/>
    <s v="Banana"/>
    <x v="0"/>
    <x v="77"/>
    <d v="2022-10-03T00:00:00"/>
    <x v="1"/>
    <d v="2023-03-30T00:00:00"/>
    <n v="940.5"/>
  </r>
  <r>
    <n v="79"/>
    <s v="Apple"/>
    <x v="0"/>
    <x v="78"/>
    <d v="2022-12-21T00:00:00"/>
    <x v="6"/>
    <d v="2021-03-12T00:00:00"/>
    <n v="767.1"/>
  </r>
  <r>
    <n v="80"/>
    <s v="Carrots"/>
    <x v="1"/>
    <x v="79"/>
    <d v="2023-12-07T00:00:00"/>
    <x v="1"/>
    <d v="2020-06-10T00:00:00"/>
    <n v="579.1"/>
  </r>
  <r>
    <n v="81"/>
    <s v="Banana"/>
    <x v="2"/>
    <x v="80"/>
    <d v="2021-12-08T00:00:00"/>
    <x v="2"/>
    <d v="2022-04-15T00:00:00"/>
    <n v="600.70000000000005"/>
  </r>
  <r>
    <n v="82"/>
    <s v="Banana"/>
    <x v="3"/>
    <x v="81"/>
    <d v="2020-01-06T00:00:00"/>
    <x v="3"/>
    <d v="2023-08-16T00:00:00"/>
    <n v="503"/>
  </r>
  <r>
    <n v="83"/>
    <s v="Carrots"/>
    <x v="1"/>
    <x v="82"/>
    <d v="2023-01-12T00:00:00"/>
    <x v="1"/>
    <d v="2021-01-19T00:00:00"/>
    <n v="676.30000000000007"/>
  </r>
  <r>
    <n v="84"/>
    <s v="Banana"/>
    <x v="0"/>
    <x v="83"/>
    <d v="2020-09-17T00:00:00"/>
    <x v="4"/>
    <d v="2023-03-30T00:00:00"/>
    <n v="0"/>
  </r>
  <r>
    <n v="85"/>
    <s v="Banana"/>
    <x v="1"/>
    <x v="84"/>
    <d v="2021-12-27T00:00:00"/>
    <x v="6"/>
    <d v="2019-04-13T00:00:00"/>
    <n v="954.30000000000007"/>
  </r>
  <r>
    <n v="86"/>
    <s v="Broccoli"/>
    <x v="2"/>
    <x v="85"/>
    <d v="2023-04-12T00:00:00"/>
    <x v="1"/>
    <d v="2019-09-22T00:00:00"/>
    <n v="0"/>
  </r>
  <r>
    <n v="87"/>
    <s v="Beans"/>
    <x v="3"/>
    <x v="86"/>
    <d v="2022-03-21T00:00:00"/>
    <x v="3"/>
    <d v="2022-02-11T00:00:00"/>
    <n v="709.40000000000009"/>
  </r>
  <r>
    <n v="88"/>
    <s v="Carrots"/>
    <x v="1"/>
    <x v="87"/>
    <d v="2021-06-13T00:00:00"/>
    <x v="0"/>
    <d v="2019-11-21T00:00:00"/>
    <n v="608.70000000000005"/>
  </r>
  <r>
    <n v="89"/>
    <s v="Apple"/>
    <x v="0"/>
    <x v="88"/>
    <d v="2023-12-08T00:00:00"/>
    <x v="4"/>
    <d v="2022-03-06T00:00:00"/>
    <n v="0"/>
  </r>
  <r>
    <n v="90"/>
    <s v="Mango"/>
    <x v="0"/>
    <x v="89"/>
    <d v="2022-11-25T00:00:00"/>
    <x v="0"/>
    <d v="2022-04-04T00:00:00"/>
    <n v="933.30000000000007"/>
  </r>
  <r>
    <n v="91"/>
    <s v="Mango"/>
    <x v="0"/>
    <x v="90"/>
    <d v="2020-09-20T00:00:00"/>
    <x v="3"/>
    <d v="2018-05-25T00:00:00"/>
    <n v="877.5"/>
  </r>
  <r>
    <n v="92"/>
    <s v="Broccoli"/>
    <x v="1"/>
    <x v="91"/>
    <d v="2020-06-20T00:00:00"/>
    <x v="1"/>
    <d v="2022-05-20T00:00:00"/>
    <n v="0"/>
  </r>
  <r>
    <n v="93"/>
    <s v="Banana"/>
    <x v="2"/>
    <x v="92"/>
    <d v="2021-11-26T00:00:00"/>
    <x v="0"/>
    <d v="2023-07-02T00:00:00"/>
    <n v="563.20000000000005"/>
  </r>
  <r>
    <n v="94"/>
    <s v="Banana"/>
    <x v="3"/>
    <x v="93"/>
    <d v="2022-05-21T00:00:00"/>
    <x v="5"/>
    <d v="2021-03-23T00:00:00"/>
    <n v="0"/>
  </r>
  <r>
    <n v="95"/>
    <s v="Beans"/>
    <x v="1"/>
    <x v="94"/>
    <d v="2021-08-27T00:00:00"/>
    <x v="4"/>
    <d v="2018-03-03T00:00:00"/>
    <n v="0"/>
  </r>
  <r>
    <n v="96"/>
    <s v="Orange"/>
    <x v="0"/>
    <x v="95"/>
    <d v="2022-01-23T00:00:00"/>
    <x v="1"/>
    <d v="2018-06-15T00:00:00"/>
    <n v="814.1"/>
  </r>
  <r>
    <n v="97"/>
    <s v="Orange"/>
    <x v="1"/>
    <x v="96"/>
    <d v="2023-10-02T00:00:00"/>
    <x v="2"/>
    <d v="2020-01-06T00:00:00"/>
    <n v="0"/>
  </r>
  <r>
    <n v="98"/>
    <s v="Orange"/>
    <x v="2"/>
    <x v="97"/>
    <d v="2022-12-29T00:00:00"/>
    <x v="4"/>
    <d v="2019-02-06T00:00:00"/>
    <n v="0"/>
  </r>
  <r>
    <n v="99"/>
    <s v="Broccoli"/>
    <x v="3"/>
    <x v="98"/>
    <d v="2021-05-23T00:00:00"/>
    <x v="3"/>
    <d v="2019-05-24T00:00:00"/>
    <n v="835.40000000000009"/>
  </r>
  <r>
    <n v="100"/>
    <s v="Banana"/>
    <x v="1"/>
    <x v="99"/>
    <d v="2020-03-17T00:00:00"/>
    <x v="0"/>
    <d v="2023-11-13T00:00:00"/>
    <n v="518.20000000000005"/>
  </r>
  <r>
    <n v="101"/>
    <s v="Apple"/>
    <x v="0"/>
    <x v="100"/>
    <d v="2021-11-29T00:00:00"/>
    <x v="6"/>
    <d v="2019-03-07T00:00:00"/>
    <n v="0"/>
  </r>
  <r>
    <n v="102"/>
    <s v="Mango"/>
    <x v="0"/>
    <x v="101"/>
    <d v="2021-08-02T00:00:00"/>
    <x v="0"/>
    <d v="2018-02-22T00:00:00"/>
    <n v="0"/>
  </r>
  <r>
    <n v="103"/>
    <s v="Apple"/>
    <x v="0"/>
    <x v="102"/>
    <d v="2022-02-02T00:00:00"/>
    <x v="0"/>
    <d v="2023-10-26T00:00:00"/>
    <n v="0"/>
  </r>
  <r>
    <n v="104"/>
    <s v="Carrots"/>
    <x v="1"/>
    <x v="103"/>
    <d v="2020-07-16T00:00:00"/>
    <x v="0"/>
    <d v="2023-05-05T00:00:00"/>
    <n v="745.7"/>
  </r>
  <r>
    <n v="105"/>
    <s v="Mango"/>
    <x v="2"/>
    <x v="104"/>
    <d v="2023-08-07T00:00:00"/>
    <x v="2"/>
    <d v="2019-11-25T00:00:00"/>
    <n v="0"/>
  </r>
  <r>
    <n v="106"/>
    <s v="Broccoli"/>
    <x v="3"/>
    <x v="105"/>
    <d v="2020-01-06T00:00:00"/>
    <x v="3"/>
    <d v="2019-02-21T00:00:00"/>
    <n v="0"/>
  </r>
  <r>
    <n v="107"/>
    <s v="Banana"/>
    <x v="1"/>
    <x v="106"/>
    <d v="2023-11-01T00:00:00"/>
    <x v="0"/>
    <d v="2019-10-08T00:00:00"/>
    <n v="0"/>
  </r>
  <r>
    <n v="108"/>
    <s v="Apple"/>
    <x v="0"/>
    <x v="107"/>
    <d v="2020-05-31T00:00:00"/>
    <x v="2"/>
    <d v="2019-10-25T00:00:00"/>
    <n v="0"/>
  </r>
  <r>
    <n v="109"/>
    <s v="Apple"/>
    <x v="1"/>
    <x v="108"/>
    <d v="2023-08-11T00:00:00"/>
    <x v="6"/>
    <d v="2019-01-02T00:00:00"/>
    <n v="560.5"/>
  </r>
  <r>
    <n v="110"/>
    <s v="Broccoli"/>
    <x v="2"/>
    <x v="109"/>
    <d v="2023-02-03T00:00:00"/>
    <x v="3"/>
    <d v="2020-12-01T00:00:00"/>
    <n v="963"/>
  </r>
  <r>
    <n v="111"/>
    <s v="Banana"/>
    <x v="3"/>
    <x v="110"/>
    <d v="2020-01-09T00:00:00"/>
    <x v="2"/>
    <d v="2023-05-08T00:00:00"/>
    <n v="694.1"/>
  </r>
  <r>
    <n v="112"/>
    <s v="Broccoli"/>
    <x v="1"/>
    <x v="111"/>
    <d v="2023-02-12T00:00:00"/>
    <x v="1"/>
    <d v="2023-05-12T00:00:00"/>
    <n v="723.1"/>
  </r>
  <r>
    <n v="113"/>
    <s v="Broccoli"/>
    <x v="0"/>
    <x v="112"/>
    <d v="2020-07-28T00:00:00"/>
    <x v="4"/>
    <d v="2018-11-10T00:00:00"/>
    <n v="889.1"/>
  </r>
  <r>
    <n v="114"/>
    <s v="Dry Apricot"/>
    <x v="0"/>
    <x v="113"/>
    <d v="2021-07-22T00:00:00"/>
    <x v="6"/>
    <d v="2023-12-20T00:00:00"/>
    <n v="0"/>
  </r>
  <r>
    <n v="115"/>
    <s v="Dry Nut"/>
    <x v="0"/>
    <x v="114"/>
    <d v="2022-02-25T00:00:00"/>
    <x v="0"/>
    <d v="2023-08-26T00:00:00"/>
    <n v="0"/>
  </r>
  <r>
    <n v="116"/>
    <s v="Dry Apricot"/>
    <x v="1"/>
    <x v="115"/>
    <d v="2020-12-26T00:00:00"/>
    <x v="0"/>
    <d v="2021-12-01T00:00:00"/>
    <n v="0"/>
  </r>
  <r>
    <n v="117"/>
    <s v="Dry Nut"/>
    <x v="2"/>
    <x v="116"/>
    <d v="2020-11-15T00:00:00"/>
    <x v="0"/>
    <d v="2021-02-17T00:00:00"/>
    <n v="548"/>
  </r>
  <r>
    <n v="118"/>
    <s v="Dry Apricot"/>
    <x v="3"/>
    <x v="117"/>
    <d v="2022-10-02T00:00:00"/>
    <x v="6"/>
    <d v="2020-04-20T00:00:00"/>
    <n v="500.20000000000005"/>
  </r>
  <r>
    <n v="119"/>
    <s v="Dry Nut"/>
    <x v="1"/>
    <x v="118"/>
    <d v="2020-10-31T00:00:00"/>
    <x v="2"/>
    <d v="2018-07-30T00:00:00"/>
    <n v="853"/>
  </r>
  <r>
    <n v="120"/>
    <s v="Dry Apricot"/>
    <x v="0"/>
    <x v="119"/>
    <d v="2022-09-10T00:00:00"/>
    <x v="5"/>
    <d v="2021-05-24T00:00:00"/>
    <n v="0"/>
  </r>
  <r>
    <n v="121"/>
    <s v="Dry Nut"/>
    <x v="1"/>
    <x v="120"/>
    <d v="2023-02-07T00:00:00"/>
    <x v="1"/>
    <d v="2022-08-31T00:00:00"/>
    <n v="634.30000000000007"/>
  </r>
  <r>
    <n v="122"/>
    <s v="Dry Apricot"/>
    <x v="2"/>
    <x v="121"/>
    <d v="2021-05-01T00:00:00"/>
    <x v="1"/>
    <d v="2018-02-07T00:00:00"/>
    <n v="0"/>
  </r>
  <r>
    <n v="123"/>
    <s v="Dry Nut"/>
    <x v="3"/>
    <x v="122"/>
    <d v="2023-07-22T00:00:00"/>
    <x v="1"/>
    <d v="2020-03-23T00:00:00"/>
    <n v="0"/>
  </r>
  <r>
    <n v="124"/>
    <s v="Dry Apricot"/>
    <x v="1"/>
    <x v="123"/>
    <d v="2020-12-25T00:00:00"/>
    <x v="5"/>
    <d v="2020-02-01T00:00:00"/>
    <n v="634.1"/>
  </r>
  <r>
    <n v="125"/>
    <s v="Dry Nut"/>
    <x v="0"/>
    <x v="124"/>
    <d v="2021-10-21T00:00:00"/>
    <x v="3"/>
    <d v="2023-07-27T00:00:00"/>
    <n v="0"/>
  </r>
  <r>
    <n v="126"/>
    <s v="Dry Apricot"/>
    <x v="0"/>
    <x v="125"/>
    <d v="2020-05-31T00:00:00"/>
    <x v="1"/>
    <d v="2018-04-08T00:00:00"/>
    <n v="0"/>
  </r>
  <r>
    <n v="127"/>
    <s v="Dry Nut"/>
    <x v="0"/>
    <x v="126"/>
    <d v="2020-11-17T00:00:00"/>
    <x v="5"/>
    <d v="2018-12-18T00:00:00"/>
    <n v="0"/>
  </r>
  <r>
    <n v="128"/>
    <s v="Dry Apricot"/>
    <x v="1"/>
    <x v="127"/>
    <d v="2020-01-29T00:00:00"/>
    <x v="1"/>
    <d v="2021-07-20T00:00:00"/>
    <n v="898.6"/>
  </r>
  <r>
    <n v="129"/>
    <s v="Broccoli"/>
    <x v="2"/>
    <x v="128"/>
    <d v="2020-09-29T00:00:00"/>
    <x v="0"/>
    <d v="2019-05-10T00:00:00"/>
    <n v="0"/>
  </r>
  <r>
    <n v="130"/>
    <s v="Carrots"/>
    <x v="3"/>
    <x v="129"/>
    <d v="2021-12-22T00:00:00"/>
    <x v="1"/>
    <d v="2023-06-28T00:00:00"/>
    <n v="575.1"/>
  </r>
  <r>
    <n v="131"/>
    <s v="Apple"/>
    <x v="1"/>
    <x v="130"/>
    <d v="2022-09-27T00:00:00"/>
    <x v="1"/>
    <d v="2020-08-08T00:00:00"/>
    <n v="0"/>
  </r>
  <r>
    <n v="132"/>
    <s v="Banana"/>
    <x v="0"/>
    <x v="131"/>
    <d v="2023-01-20T00:00:00"/>
    <x v="4"/>
    <d v="2022-10-30T00:00:00"/>
    <n v="796.6"/>
  </r>
  <r>
    <n v="133"/>
    <s v="Banana"/>
    <x v="1"/>
    <x v="132"/>
    <d v="2022-10-18T00:00:00"/>
    <x v="0"/>
    <d v="2018-06-30T00:00:00"/>
    <n v="0"/>
  </r>
  <r>
    <n v="134"/>
    <s v="Beans"/>
    <x v="2"/>
    <x v="133"/>
    <d v="2020-11-05T00:00:00"/>
    <x v="4"/>
    <d v="2018-08-12T00:00:00"/>
    <n v="841.6"/>
  </r>
  <r>
    <n v="135"/>
    <s v="Banana"/>
    <x v="3"/>
    <x v="134"/>
    <d v="2020-08-16T00:00:00"/>
    <x v="6"/>
    <d v="2021-12-07T00:00:00"/>
    <n v="714.40000000000009"/>
  </r>
  <r>
    <n v="136"/>
    <s v="Broccoli"/>
    <x v="1"/>
    <x v="135"/>
    <d v="2023-05-27T00:00:00"/>
    <x v="0"/>
    <d v="2018-12-21T00:00:00"/>
    <n v="785.40000000000009"/>
  </r>
  <r>
    <n v="137"/>
    <s v="Orange"/>
    <x v="0"/>
    <x v="136"/>
    <d v="2021-06-11T00:00:00"/>
    <x v="0"/>
    <d v="2022-03-24T00:00:00"/>
    <n v="0"/>
  </r>
  <r>
    <n v="138"/>
    <s v="Broccoli"/>
    <x v="0"/>
    <x v="137"/>
    <d v="2023-12-26T00:00:00"/>
    <x v="0"/>
    <d v="2018-09-01T00:00:00"/>
    <n v="804.90000000000009"/>
  </r>
  <r>
    <n v="139"/>
    <s v="Banana"/>
    <x v="0"/>
    <x v="138"/>
    <d v="2023-01-03T00:00:00"/>
    <x v="3"/>
    <d v="2023-08-16T00:00:00"/>
    <n v="0"/>
  </r>
  <r>
    <n v="140"/>
    <s v="Carrots"/>
    <x v="1"/>
    <x v="139"/>
    <d v="2021-08-04T00:00:00"/>
    <x v="0"/>
    <d v="2019-11-16T00:00:00"/>
    <n v="0"/>
  </r>
  <r>
    <n v="141"/>
    <s v="Apple"/>
    <x v="2"/>
    <x v="140"/>
    <d v="2021-08-22T00:00:00"/>
    <x v="6"/>
    <d v="2019-12-24T00:00:00"/>
    <n v="0"/>
  </r>
  <r>
    <n v="142"/>
    <s v="Apple"/>
    <x v="3"/>
    <x v="141"/>
    <d v="2021-12-25T00:00:00"/>
    <x v="6"/>
    <d v="2020-05-23T00:00:00"/>
    <n v="749"/>
  </r>
  <r>
    <n v="143"/>
    <s v="Broccoli"/>
    <x v="1"/>
    <x v="142"/>
    <d v="2020-08-07T00:00:00"/>
    <x v="3"/>
    <d v="2019-03-06T00:00:00"/>
    <n v="0"/>
  </r>
  <r>
    <n v="144"/>
    <s v="Apple"/>
    <x v="0"/>
    <x v="143"/>
    <d v="2022-08-14T00:00:00"/>
    <x v="2"/>
    <d v="2023-07-04T00:00:00"/>
    <n v="733.30000000000007"/>
  </r>
  <r>
    <n v="145"/>
    <s v="Carrots"/>
    <x v="1"/>
    <x v="144"/>
    <d v="2021-09-02T00:00:00"/>
    <x v="0"/>
    <d v="2019-06-30T00:00:00"/>
    <n v="765.40000000000009"/>
  </r>
  <r>
    <n v="146"/>
    <s v="Apple"/>
    <x v="2"/>
    <x v="145"/>
    <d v="2023-02-06T00:00:00"/>
    <x v="1"/>
    <d v="2019-12-01T00:00:00"/>
    <n v="0"/>
  </r>
  <r>
    <n v="147"/>
    <s v="Beans"/>
    <x v="3"/>
    <x v="146"/>
    <d v="2022-07-31T00:00:00"/>
    <x v="3"/>
    <d v="2019-01-29T00:00:00"/>
    <n v="576.1"/>
  </r>
  <r>
    <n v="148"/>
    <s v="Banana"/>
    <x v="1"/>
    <x v="147"/>
    <d v="2020-01-11T00:00:00"/>
    <x v="5"/>
    <d v="2019-11-19T00:00:00"/>
    <n v="686.40000000000009"/>
  </r>
  <r>
    <n v="149"/>
    <s v="Banana"/>
    <x v="0"/>
    <x v="148"/>
    <d v="2022-06-28T00:00:00"/>
    <x v="3"/>
    <d v="2020-07-31T00:00:00"/>
    <n v="0"/>
  </r>
  <r>
    <n v="150"/>
    <s v="Banana"/>
    <x v="0"/>
    <x v="149"/>
    <d v="2020-09-29T00:00:00"/>
    <x v="0"/>
    <d v="2018-04-29T00:00:00"/>
    <n v="0"/>
  </r>
  <r>
    <n v="151"/>
    <s v="Banana"/>
    <x v="0"/>
    <x v="150"/>
    <d v="2022-04-16T00:00:00"/>
    <x v="4"/>
    <d v="2021-05-17T00:00:00"/>
    <n v="0"/>
  </r>
  <r>
    <n v="152"/>
    <s v="Banana"/>
    <x v="1"/>
    <x v="151"/>
    <d v="2022-09-10T00:00:00"/>
    <x v="1"/>
    <d v="2018-01-06T00:00:00"/>
    <n v="876.5"/>
  </r>
  <r>
    <n v="153"/>
    <s v="Banana"/>
    <x v="2"/>
    <x v="152"/>
    <d v="2022-08-17T00:00:00"/>
    <x v="0"/>
    <d v="2022-03-31T00:00:00"/>
    <n v="558.30000000000007"/>
  </r>
  <r>
    <n v="154"/>
    <s v="Broccoli"/>
    <x v="3"/>
    <x v="153"/>
    <d v="2021-03-08T00:00:00"/>
    <x v="5"/>
    <d v="2018-08-29T00:00:00"/>
    <n v="0"/>
  </r>
  <r>
    <n v="155"/>
    <s v="Broccoli"/>
    <x v="1"/>
    <x v="154"/>
    <d v="2021-11-24T00:00:00"/>
    <x v="2"/>
    <d v="2021-06-17T00:00:00"/>
    <n v="0"/>
  </r>
  <r>
    <n v="156"/>
    <s v="Apple"/>
    <x v="0"/>
    <x v="155"/>
    <d v="2023-11-16T00:00:00"/>
    <x v="0"/>
    <d v="2019-02-01T00:00:00"/>
    <n v="848.90000000000009"/>
  </r>
  <r>
    <n v="157"/>
    <s v="Banana"/>
    <x v="1"/>
    <x v="156"/>
    <d v="2020-12-08T00:00:00"/>
    <x v="6"/>
    <d v="2019-04-29T00:00:00"/>
    <n v="709"/>
  </r>
  <r>
    <n v="158"/>
    <s v="Banana"/>
    <x v="2"/>
    <x v="157"/>
    <d v="2023-04-15T00:00:00"/>
    <x v="0"/>
    <d v="2022-03-02T00:00:00"/>
    <n v="788"/>
  </r>
  <r>
    <n v="159"/>
    <s v="Orange"/>
    <x v="3"/>
    <x v="158"/>
    <d v="2020-12-03T00:00:00"/>
    <x v="0"/>
    <d v="2020-10-14T00:00:00"/>
    <n v="0"/>
  </r>
  <r>
    <n v="160"/>
    <s v="Broccoli"/>
    <x v="1"/>
    <x v="159"/>
    <d v="2023-09-08T00:00:00"/>
    <x v="3"/>
    <d v="2023-01-02T00:00:00"/>
    <n v="792.7"/>
  </r>
  <r>
    <n v="161"/>
    <s v="Banana"/>
    <x v="0"/>
    <x v="160"/>
    <d v="2020-11-18T00:00:00"/>
    <x v="0"/>
    <d v="2023-03-22T00:00:00"/>
    <n v="616.20000000000005"/>
  </r>
  <r>
    <n v="162"/>
    <s v="Mango"/>
    <x v="0"/>
    <x v="161"/>
    <d v="2020-05-13T00:00:00"/>
    <x v="4"/>
    <d v="2018-09-09T00:00:00"/>
    <n v="552.30000000000007"/>
  </r>
  <r>
    <n v="163"/>
    <s v="Broccoli"/>
    <x v="0"/>
    <x v="162"/>
    <d v="2021-04-09T00:00:00"/>
    <x v="1"/>
    <d v="2021-02-20T00:00:00"/>
    <n v="593.6"/>
  </r>
  <r>
    <n v="164"/>
    <s v="Carrots"/>
    <x v="1"/>
    <x v="163"/>
    <d v="2020-04-23T00:00:00"/>
    <x v="3"/>
    <d v="2018-03-02T00:00:00"/>
    <n v="725.1"/>
  </r>
  <r>
    <n v="165"/>
    <s v="Orange"/>
    <x v="2"/>
    <x v="164"/>
    <d v="2023-10-08T00:00:00"/>
    <x v="4"/>
    <d v="2019-07-02T00:00:00"/>
    <n v="618.70000000000005"/>
  </r>
  <r>
    <n v="166"/>
    <s v="Banana"/>
    <x v="3"/>
    <x v="165"/>
    <d v="2023-10-22T00:00:00"/>
    <x v="3"/>
    <d v="2019-09-16T00:00:00"/>
    <n v="0"/>
  </r>
  <r>
    <n v="167"/>
    <s v="Carrots"/>
    <x v="1"/>
    <x v="166"/>
    <d v="2021-07-22T00:00:00"/>
    <x v="3"/>
    <d v="2022-02-16T00:00:00"/>
    <n v="0"/>
  </r>
  <r>
    <n v="168"/>
    <s v="Banana"/>
    <x v="0"/>
    <x v="167"/>
    <d v="2020-12-31T00:00:00"/>
    <x v="4"/>
    <d v="2022-12-10T00:00:00"/>
    <n v="0"/>
  </r>
  <r>
    <n v="169"/>
    <s v="Carrots"/>
    <x v="1"/>
    <x v="168"/>
    <d v="2021-11-13T00:00:00"/>
    <x v="3"/>
    <d v="2022-03-10T00:00:00"/>
    <n v="534.6"/>
  </r>
  <r>
    <n v="170"/>
    <s v="Banana"/>
    <x v="2"/>
    <x v="169"/>
    <d v="2020-02-07T00:00:00"/>
    <x v="5"/>
    <d v="2023-09-17T00:00:00"/>
    <n v="710.30000000000007"/>
  </r>
  <r>
    <n v="171"/>
    <s v="Carrots"/>
    <x v="3"/>
    <x v="170"/>
    <d v="2021-02-07T00:00:00"/>
    <x v="0"/>
    <d v="2023-12-24T00:00:00"/>
    <n v="0"/>
  </r>
  <r>
    <n v="172"/>
    <s v="Apple"/>
    <x v="1"/>
    <x v="171"/>
    <d v="2022-03-01T00:00:00"/>
    <x v="6"/>
    <d v="2023-10-05T00:00:00"/>
    <n v="816"/>
  </r>
  <r>
    <n v="173"/>
    <s v="Apple"/>
    <x v="0"/>
    <x v="172"/>
    <d v="2023-11-06T00:00:00"/>
    <x v="1"/>
    <d v="2019-08-19T00:00:00"/>
    <n v="717.1"/>
  </r>
  <r>
    <n v="174"/>
    <s v="Banana"/>
    <x v="0"/>
    <x v="173"/>
    <d v="2021-12-10T00:00:00"/>
    <x v="5"/>
    <d v="2023-09-30T00:00:00"/>
    <n v="0"/>
  </r>
  <r>
    <n v="175"/>
    <s v="Banana"/>
    <x v="0"/>
    <x v="174"/>
    <d v="2021-10-17T00:00:00"/>
    <x v="4"/>
    <d v="2019-11-19T00:00:00"/>
    <n v="727.30000000000007"/>
  </r>
  <r>
    <n v="176"/>
    <s v="Banana"/>
    <x v="1"/>
    <x v="175"/>
    <d v="2021-08-18T00:00:00"/>
    <x v="3"/>
    <d v="2021-01-08T00:00:00"/>
    <n v="0"/>
  </r>
  <r>
    <n v="177"/>
    <s v="Banana"/>
    <x v="2"/>
    <x v="176"/>
    <d v="2021-03-27T00:00:00"/>
    <x v="4"/>
    <d v="2020-11-04T00:00:00"/>
    <n v="0"/>
  </r>
  <r>
    <n v="178"/>
    <s v="Beans"/>
    <x v="3"/>
    <x v="177"/>
    <d v="2022-02-13T00:00:00"/>
    <x v="4"/>
    <d v="2023-09-17T00:00:00"/>
    <n v="501.5"/>
  </r>
  <r>
    <n v="179"/>
    <s v="Orange"/>
    <x v="1"/>
    <x v="178"/>
    <d v="2020-12-01T00:00:00"/>
    <x v="0"/>
    <d v="2020-04-05T00:00:00"/>
    <n v="581.80000000000007"/>
  </r>
  <r>
    <n v="180"/>
    <s v="Banana"/>
    <x v="0"/>
    <x v="179"/>
    <d v="2020-11-19T00:00:00"/>
    <x v="1"/>
    <d v="2019-04-19T00:00:00"/>
    <n v="0"/>
  </r>
  <r>
    <n v="181"/>
    <s v="Carrots"/>
    <x v="1"/>
    <x v="180"/>
    <d v="2020-01-02T00:00:00"/>
    <x v="0"/>
    <d v="2020-09-14T00:00:00"/>
    <n v="0"/>
  </r>
  <r>
    <n v="182"/>
    <s v="Apple"/>
    <x v="2"/>
    <x v="181"/>
    <d v="2021-06-10T00:00:00"/>
    <x v="1"/>
    <d v="2023-02-26T00:00:00"/>
    <n v="0"/>
  </r>
  <r>
    <n v="183"/>
    <s v="Apple"/>
    <x v="3"/>
    <x v="182"/>
    <d v="2023-09-17T00:00:00"/>
    <x v="6"/>
    <d v="2020-02-07T00:00:00"/>
    <n v="532.1"/>
  </r>
  <r>
    <n v="184"/>
    <s v="Banana"/>
    <x v="1"/>
    <x v="183"/>
    <d v="2022-01-05T00:00:00"/>
    <x v="0"/>
    <d v="2022-10-11T00:00:00"/>
    <n v="889.40000000000009"/>
  </r>
  <r>
    <n v="185"/>
    <s v="Carrots"/>
    <x v="0"/>
    <x v="184"/>
    <d v="2020-01-27T00:00:00"/>
    <x v="1"/>
    <d v="2022-12-21T00:00:00"/>
    <n v="0"/>
  </r>
  <r>
    <n v="186"/>
    <s v="Broccoli"/>
    <x v="0"/>
    <x v="185"/>
    <d v="2023-09-26T00:00:00"/>
    <x v="3"/>
    <d v="2020-04-21T00:00:00"/>
    <n v="0"/>
  </r>
  <r>
    <n v="187"/>
    <s v="Orange"/>
    <x v="0"/>
    <x v="186"/>
    <d v="2021-01-28T00:00:00"/>
    <x v="1"/>
    <d v="2022-07-23T00:00:00"/>
    <n v="828.30000000000007"/>
  </r>
  <r>
    <n v="188"/>
    <s v="Orange"/>
    <x v="1"/>
    <x v="187"/>
    <d v="2023-12-09T00:00:00"/>
    <x v="2"/>
    <d v="2018-07-02T00:00:00"/>
    <n v="999"/>
  </r>
  <r>
    <n v="189"/>
    <s v="Banana"/>
    <x v="2"/>
    <x v="188"/>
    <d v="2023-05-03T00:00:00"/>
    <x v="4"/>
    <d v="2022-06-17T00:00:00"/>
    <n v="901.40000000000009"/>
  </r>
  <r>
    <n v="190"/>
    <s v="Apple"/>
    <x v="3"/>
    <x v="189"/>
    <d v="2020-03-01T00:00:00"/>
    <x v="6"/>
    <d v="2019-01-12T00:00:00"/>
    <n v="0"/>
  </r>
  <r>
    <n v="191"/>
    <s v="Banana"/>
    <x v="1"/>
    <x v="190"/>
    <d v="2021-12-22T00:00:00"/>
    <x v="0"/>
    <d v="2018-11-04T00:00:00"/>
    <n v="722.30000000000007"/>
  </r>
  <r>
    <n v="192"/>
    <s v="Carrots"/>
    <x v="0"/>
    <x v="191"/>
    <d v="2022-05-01T00:00:00"/>
    <x v="0"/>
    <d v="2023-08-30T00:00:00"/>
    <n v="0"/>
  </r>
  <r>
    <n v="193"/>
    <s v="Carrots"/>
    <x v="1"/>
    <x v="192"/>
    <d v="2020-02-26T00:00:00"/>
    <x v="6"/>
    <d v="2019-12-20T00:00:00"/>
    <n v="910.40000000000009"/>
  </r>
  <r>
    <n v="194"/>
    <s v="Apple"/>
    <x v="2"/>
    <x v="193"/>
    <d v="2023-05-30T00:00:00"/>
    <x v="0"/>
    <d v="2019-08-25T00:00:00"/>
    <n v="607.80000000000007"/>
  </r>
  <r>
    <n v="195"/>
    <s v="Beans"/>
    <x v="3"/>
    <x v="194"/>
    <d v="2020-10-13T00:00:00"/>
    <x v="3"/>
    <d v="2019-04-23T00:00:00"/>
    <n v="0"/>
  </r>
  <r>
    <n v="196"/>
    <s v="Banana"/>
    <x v="1"/>
    <x v="195"/>
    <d v="2020-09-20T00:00:00"/>
    <x v="2"/>
    <d v="2021-12-10T00:00:00"/>
    <n v="0"/>
  </r>
  <r>
    <n v="197"/>
    <s v="Banana"/>
    <x v="0"/>
    <x v="196"/>
    <d v="2023-09-24T00:00:00"/>
    <x v="4"/>
    <d v="2019-10-08T00:00:00"/>
    <n v="837.7"/>
  </r>
  <r>
    <n v="198"/>
    <s v="Banana"/>
    <x v="0"/>
    <x v="197"/>
    <d v="2020-11-02T00:00:00"/>
    <x v="0"/>
    <d v="2022-06-01T00:00:00"/>
    <n v="0"/>
  </r>
  <r>
    <n v="199"/>
    <s v="Banana"/>
    <x v="0"/>
    <x v="198"/>
    <d v="2023-11-08T00:00:00"/>
    <x v="3"/>
    <d v="2022-02-26T00:00:00"/>
    <n v="870.2"/>
  </r>
  <r>
    <n v="200"/>
    <s v="Banana"/>
    <x v="1"/>
    <x v="199"/>
    <d v="2021-09-23T00:00:00"/>
    <x v="0"/>
    <d v="2022-06-29T00:00:00"/>
    <n v="502.1"/>
  </r>
  <r>
    <n v="201"/>
    <s v="Apple"/>
    <x v="2"/>
    <x v="200"/>
    <d v="2020-12-03T00:00:00"/>
    <x v="4"/>
    <d v="2021-10-04T00:00:00"/>
    <n v="0"/>
  </r>
  <r>
    <n v="202"/>
    <s v="Banana"/>
    <x v="3"/>
    <x v="201"/>
    <d v="2022-04-27T00:00:00"/>
    <x v="3"/>
    <d v="2020-04-17T00:00:00"/>
    <n v="0"/>
  </r>
  <r>
    <n v="203"/>
    <s v="Beans"/>
    <x v="1"/>
    <x v="202"/>
    <d v="2021-02-18T00:00:00"/>
    <x v="1"/>
    <d v="2020-07-06T00:00:00"/>
    <n v="0"/>
  </r>
  <r>
    <n v="204"/>
    <s v="Orange"/>
    <x v="0"/>
    <x v="203"/>
    <d v="2023-02-08T00:00:00"/>
    <x v="1"/>
    <d v="2023-11-12T00:00:00"/>
    <n v="0"/>
  </r>
  <r>
    <n v="205"/>
    <s v="Apple"/>
    <x v="1"/>
    <x v="204"/>
    <d v="2021-12-04T00:00:00"/>
    <x v="2"/>
    <d v="2021-09-14T00:00:00"/>
    <n v="0"/>
  </r>
  <r>
    <n v="206"/>
    <s v="Apple"/>
    <x v="2"/>
    <x v="205"/>
    <d v="2022-04-19T00:00:00"/>
    <x v="5"/>
    <d v="2018-08-20T00:00:00"/>
    <n v="0"/>
  </r>
  <r>
    <n v="207"/>
    <s v="Apple"/>
    <x v="3"/>
    <x v="206"/>
    <d v="2021-12-23T00:00:00"/>
    <x v="3"/>
    <d v="2020-01-22T00:00:00"/>
    <n v="875.2"/>
  </r>
  <r>
    <n v="208"/>
    <s v="Carrots"/>
    <x v="1"/>
    <x v="207"/>
    <d v="2022-02-21T00:00:00"/>
    <x v="0"/>
    <d v="2021-06-03T00:00:00"/>
    <n v="912.7"/>
  </r>
  <r>
    <n v="209"/>
    <s v="Apple"/>
    <x v="0"/>
    <x v="208"/>
    <d v="2020-02-26T00:00:00"/>
    <x v="6"/>
    <d v="2020-09-23T00:00:00"/>
    <n v="0"/>
  </r>
  <r>
    <n v="210"/>
    <s v="Beans"/>
    <x v="0"/>
    <x v="209"/>
    <d v="2022-12-13T00:00:00"/>
    <x v="6"/>
    <d v="2018-09-11T00:00:00"/>
    <n v="0"/>
  </r>
  <r>
    <n v="211"/>
    <s v="Orange"/>
    <x v="0"/>
    <x v="210"/>
    <d v="2023-06-15T00:00:00"/>
    <x v="0"/>
    <d v="2020-03-18T00:00:00"/>
    <n v="0"/>
  </r>
  <r>
    <n v="212"/>
    <s v="Carrots"/>
    <x v="1"/>
    <x v="211"/>
    <d v="2022-02-06T00:00:00"/>
    <x v="4"/>
    <d v="2023-10-30T00:00:00"/>
    <n v="0"/>
  </r>
  <r>
    <n v="213"/>
    <s v="Carrots"/>
    <x v="2"/>
    <x v="67"/>
    <d v="2021-07-29T00:00:00"/>
    <x v="4"/>
    <d v="2022-03-01T00:00:00"/>
    <n v="0"/>
  </r>
  <r>
    <n v="214"/>
    <s v="Apple"/>
    <x v="3"/>
    <x v="212"/>
    <d v="2020-08-17T00:00:00"/>
    <x v="5"/>
    <d v="2019-02-09T00:00:00"/>
    <n v="0"/>
  </r>
  <r>
    <n v="215"/>
    <s v="Apple"/>
    <x v="1"/>
    <x v="213"/>
    <d v="2022-03-04T00:00:00"/>
    <x v="3"/>
    <d v="2021-03-30T00:00:00"/>
    <n v="0"/>
  </r>
  <r>
    <n v="216"/>
    <s v="Carrots"/>
    <x v="0"/>
    <x v="214"/>
    <d v="2022-07-02T00:00:00"/>
    <x v="0"/>
    <d v="2022-08-14T00:00:00"/>
    <n v="0"/>
  </r>
  <r>
    <n v="217"/>
    <s v="Apple"/>
    <x v="1"/>
    <x v="215"/>
    <d v="2020-12-24T00:00:00"/>
    <x v="6"/>
    <d v="2019-05-21T00:00:00"/>
    <n v="0"/>
  </r>
  <r>
    <n v="218"/>
    <s v="Beans"/>
    <x v="2"/>
    <x v="216"/>
    <d v="2020-04-15T00:00:00"/>
    <x v="6"/>
    <d v="2019-12-25T00:00:00"/>
    <n v="0"/>
  </r>
  <r>
    <n v="219"/>
    <s v="Orange"/>
    <x v="3"/>
    <x v="217"/>
    <d v="2021-10-22T00:00:00"/>
    <x v="0"/>
    <d v="2023-01-15T00:00:00"/>
    <n v="0"/>
  </r>
  <r>
    <n v="220"/>
    <s v="Carrots"/>
    <x v="1"/>
    <x v="218"/>
    <d v="2023-10-01T00:00:00"/>
    <x v="4"/>
    <d v="2020-05-11T00:00:00"/>
    <n v="0"/>
  </r>
  <r>
    <n v="221"/>
    <s v="Carrots"/>
    <x v="0"/>
    <x v="219"/>
    <d v="2020-06-29T00:00:00"/>
    <x v="4"/>
    <d v="2018-01-26T00:00:00"/>
    <n v="0"/>
  </r>
  <r>
    <n v="222"/>
    <s v="Apple"/>
    <x v="0"/>
    <x v="220"/>
    <d v="2020-01-30T00:00:00"/>
    <x v="5"/>
    <d v="2019-12-15T00:00:00"/>
    <n v="0"/>
  </r>
  <r>
    <n v="223"/>
    <s v="Apple"/>
    <x v="0"/>
    <x v="221"/>
    <d v="2021-09-02T00:00:00"/>
    <x v="3"/>
    <d v="2020-02-01T00:00:00"/>
    <n v="0"/>
  </r>
  <r>
    <n v="224"/>
    <s v="Carrots"/>
    <x v="1"/>
    <x v="222"/>
    <d v="2023-08-26T00:00:00"/>
    <x v="0"/>
    <d v="2021-01-31T00:00:00"/>
    <n v="0"/>
  </r>
  <r>
    <n v="225"/>
    <s v="Apple"/>
    <x v="2"/>
    <x v="223"/>
    <d v="2023-04-12T00:00:00"/>
    <x v="6"/>
    <d v="2018-10-12T00:00:00"/>
    <n v="0"/>
  </r>
  <r>
    <n v="226"/>
    <s v="Beans"/>
    <x v="3"/>
    <x v="224"/>
    <d v="2023-10-01T00:00:00"/>
    <x v="6"/>
    <d v="2018-12-05T00:00:00"/>
    <n v="507.70000000000005"/>
  </r>
  <r>
    <n v="227"/>
    <s v="Orange"/>
    <x v="1"/>
    <x v="225"/>
    <d v="2022-11-29T00:00:00"/>
    <x v="0"/>
    <d v="2020-10-05T00:00:00"/>
    <n v="525.30000000000007"/>
  </r>
  <r>
    <n v="228"/>
    <s v="Carrots"/>
    <x v="0"/>
    <x v="226"/>
    <d v="2020-06-08T00:00:00"/>
    <x v="4"/>
    <d v="2021-08-30T00:00:00"/>
    <n v="542.9"/>
  </r>
  <r>
    <n v="229"/>
    <s v="Carrots"/>
    <x v="1"/>
    <x v="108"/>
    <d v="2020-07-19T00:00:00"/>
    <x v="4"/>
    <d v="2020-02-06T00:00:00"/>
    <n v="560.5"/>
  </r>
  <r>
    <n v="230"/>
    <s v="Apple"/>
    <x v="2"/>
    <x v="227"/>
    <d v="2020-09-12T00:00:00"/>
    <x v="5"/>
    <d v="2019-12-16T00:00:00"/>
    <n v="578.1"/>
  </r>
  <r>
    <n v="231"/>
    <s v="Apple"/>
    <x v="3"/>
    <x v="228"/>
    <d v="2020-07-31T00:00:00"/>
    <x v="3"/>
    <d v="2019-02-03T00:00:00"/>
    <n v="595.70000000000005"/>
  </r>
  <r>
    <n v="232"/>
    <s v="Carrots"/>
    <x v="1"/>
    <x v="229"/>
    <d v="2021-08-06T00:00:00"/>
    <x v="0"/>
    <d v="2021-09-29T00:00:00"/>
    <n v="613.30000000000007"/>
  </r>
  <r>
    <n v="233"/>
    <s v="Apple"/>
    <x v="0"/>
    <x v="230"/>
    <d v="2023-05-29T00:00:00"/>
    <x v="6"/>
    <d v="2021-03-17T00:00:00"/>
    <n v="630.90000000000009"/>
  </r>
  <r>
    <n v="234"/>
    <s v="Beans"/>
    <x v="0"/>
    <x v="231"/>
    <d v="2020-09-22T00:00:00"/>
    <x v="6"/>
    <d v="2021-01-13T00:00:00"/>
    <n v="648.5"/>
  </r>
  <r>
    <n v="235"/>
    <s v="Orange"/>
    <x v="0"/>
    <x v="232"/>
    <d v="2022-09-05T00:00:00"/>
    <x v="0"/>
    <d v="2023-04-27T00:00:00"/>
    <n v="666.1"/>
  </r>
  <r>
    <n v="236"/>
    <s v="Carrots"/>
    <x v="1"/>
    <x v="233"/>
    <d v="2022-08-26T00:00:00"/>
    <x v="4"/>
    <d v="2021-04-23T00:00:00"/>
    <n v="683.7"/>
  </r>
  <r>
    <n v="237"/>
    <s v="Carrots"/>
    <x v="2"/>
    <x v="234"/>
    <d v="2023-06-14T00:00:00"/>
    <x v="4"/>
    <d v="2023-03-30T00:00:00"/>
    <n v="701.30000000000007"/>
  </r>
  <r>
    <n v="238"/>
    <s v="Apple"/>
    <x v="3"/>
    <x v="235"/>
    <d v="2020-08-06T00:00:00"/>
    <x v="5"/>
    <d v="2023-10-01T00:00:00"/>
    <n v="718.90000000000009"/>
  </r>
  <r>
    <n v="239"/>
    <s v="Apple"/>
    <x v="1"/>
    <x v="236"/>
    <d v="2021-08-29T00:00:00"/>
    <x v="3"/>
    <d v="2019-06-29T00:00:00"/>
    <n v="736.5"/>
  </r>
  <r>
    <n v="240"/>
    <s v="Carrots"/>
    <x v="0"/>
    <x v="237"/>
    <d v="2023-07-18T00:00:00"/>
    <x v="0"/>
    <d v="2018-03-02T00:00:00"/>
    <n v="754.1"/>
  </r>
  <r>
    <n v="241"/>
    <s v="Apple"/>
    <x v="1"/>
    <x v="238"/>
    <d v="2022-09-17T00:00:00"/>
    <x v="6"/>
    <d v="2018-02-01T00:00:00"/>
    <n v="771.7"/>
  </r>
  <r>
    <n v="242"/>
    <s v="Beans"/>
    <x v="2"/>
    <x v="239"/>
    <d v="2023-08-24T00:00:00"/>
    <x v="6"/>
    <d v="2020-03-22T00:00:00"/>
    <n v="789.30000000000007"/>
  </r>
  <r>
    <n v="243"/>
    <s v="Orange"/>
    <x v="3"/>
    <x v="240"/>
    <d v="2023-10-28T00:00:00"/>
    <x v="0"/>
    <d v="2022-05-12T00:00:00"/>
    <n v="806.90000000000009"/>
  </r>
  <r>
    <n v="244"/>
    <s v="Carrots"/>
    <x v="1"/>
    <x v="241"/>
    <d v="2021-06-04T00:00:00"/>
    <x v="4"/>
    <d v="2018-02-01T00:00:00"/>
    <n v="824.5"/>
  </r>
  <r>
    <n v="245"/>
    <s v="Carrots"/>
    <x v="0"/>
    <x v="242"/>
    <d v="2023-12-03T00:00:00"/>
    <x v="4"/>
    <d v="2023-02-20T00:00:00"/>
    <n v="842.1"/>
  </r>
  <r>
    <n v="246"/>
    <s v="Apple"/>
    <x v="0"/>
    <x v="243"/>
    <d v="2022-03-03T00:00:00"/>
    <x v="5"/>
    <d v="2022-11-04T00:00:00"/>
    <n v="859.7"/>
  </r>
  <r>
    <n v="247"/>
    <s v="Apple"/>
    <x v="0"/>
    <x v="244"/>
    <d v="2020-02-04T00:00:00"/>
    <x v="3"/>
    <d v="2021-09-14T00:00:00"/>
    <n v="877.30000000000007"/>
  </r>
  <r>
    <n v="248"/>
    <s v="Carrots"/>
    <x v="1"/>
    <x v="245"/>
    <d v="2020-01-16T00:00:00"/>
    <x v="0"/>
    <d v="2021-04-01T00:00:00"/>
    <n v="894.90000000000009"/>
  </r>
  <r>
    <n v="249"/>
    <s v="Apple"/>
    <x v="2"/>
    <x v="246"/>
    <d v="2022-06-14T00:00:00"/>
    <x v="6"/>
    <d v="2023-02-17T00:00:00"/>
    <n v="912.5"/>
  </r>
  <r>
    <n v="250"/>
    <s v="Beans"/>
    <x v="3"/>
    <x v="247"/>
    <d v="2020-10-22T00:00:00"/>
    <x v="6"/>
    <d v="2020-07-26T00:00:00"/>
    <n v="930.1"/>
  </r>
  <r>
    <n v="251"/>
    <s v="Orange"/>
    <x v="1"/>
    <x v="248"/>
    <d v="2022-11-28T00:00:00"/>
    <x v="0"/>
    <d v="2018-05-03T00:00:00"/>
    <n v="947.7"/>
  </r>
  <r>
    <n v="252"/>
    <s v="Carrots"/>
    <x v="0"/>
    <x v="249"/>
    <d v="2020-05-17T00:00:00"/>
    <x v="4"/>
    <d v="2018-08-29T00:00:00"/>
    <n v="965.30000000000007"/>
  </r>
  <r>
    <n v="253"/>
    <s v="Carrots"/>
    <x v="1"/>
    <x v="250"/>
    <d v="2020-07-29T00:00:00"/>
    <x v="4"/>
    <d v="2021-12-09T00:00:00"/>
    <n v="982.90000000000009"/>
  </r>
  <r>
    <n v="254"/>
    <s v="Apple"/>
    <x v="2"/>
    <x v="251"/>
    <d v="2022-10-21T00:00:00"/>
    <x v="5"/>
    <d v="2023-09-25T00:00:00"/>
    <n v="1000.5"/>
  </r>
  <r>
    <n v="255"/>
    <s v="Apple"/>
    <x v="3"/>
    <x v="252"/>
    <d v="2022-09-07T00:00:00"/>
    <x v="3"/>
    <d v="2018-03-26T00:00:00"/>
    <n v="1018.1"/>
  </r>
  <r>
    <n v="256"/>
    <s v="Carrots"/>
    <x v="1"/>
    <x v="253"/>
    <d v="2023-03-31T00:00:00"/>
    <x v="0"/>
    <d v="2022-02-20T00:00:00"/>
    <n v="1035.7"/>
  </r>
  <r>
    <n v="257"/>
    <s v="Apple"/>
    <x v="0"/>
    <x v="254"/>
    <d v="2020-10-31T00:00:00"/>
    <x v="6"/>
    <d v="2023-07-16T00:00:00"/>
    <n v="1053.3"/>
  </r>
  <r>
    <n v="258"/>
    <s v="Beans"/>
    <x v="0"/>
    <x v="255"/>
    <d v="2022-08-15T00:00:00"/>
    <x v="6"/>
    <d v="2023-12-06T00:00:00"/>
    <n v="1070.9000000000001"/>
  </r>
  <r>
    <n v="259"/>
    <s v="Orange"/>
    <x v="0"/>
    <x v="256"/>
    <d v="2020-08-10T00:00:00"/>
    <x v="0"/>
    <d v="2019-06-16T00:00:00"/>
    <n v="1088.5"/>
  </r>
  <r>
    <n v="260"/>
    <s v="Carrots"/>
    <x v="1"/>
    <x v="257"/>
    <d v="2021-02-11T00:00:00"/>
    <x v="4"/>
    <d v="2018-04-10T00:00:00"/>
    <n v="1106.1000000000001"/>
  </r>
  <r>
    <n v="261"/>
    <s v="Carrots"/>
    <x v="2"/>
    <x v="258"/>
    <d v="2023-04-12T00:00:00"/>
    <x v="4"/>
    <d v="2018-05-12T00:00:00"/>
    <n v="1123.7"/>
  </r>
  <r>
    <n v="262"/>
    <s v="Appricots"/>
    <x v="3"/>
    <x v="259"/>
    <d v="2023-07-02T00:00:00"/>
    <x v="5"/>
    <d v="2021-08-31T00:00:00"/>
    <n v="1141.3"/>
  </r>
  <r>
    <n v="263"/>
    <s v="Appricots"/>
    <x v="1"/>
    <x v="260"/>
    <d v="2020-08-19T00:00:00"/>
    <x v="3"/>
    <d v="2020-12-27T00:00:00"/>
    <n v="1158.9000000000001"/>
  </r>
  <r>
    <n v="264"/>
    <s v="Appricots"/>
    <x v="0"/>
    <x v="261"/>
    <d v="2020-04-15T00:00:00"/>
    <x v="0"/>
    <d v="2023-03-27T00:00:00"/>
    <n v="1176.5"/>
  </r>
  <r>
    <n v="265"/>
    <s v="Appricots"/>
    <x v="1"/>
    <x v="262"/>
    <d v="2022-08-30T00:00:00"/>
    <x v="6"/>
    <d v="2023-07-24T00:00:00"/>
    <n v="1194.1000000000001"/>
  </r>
  <r>
    <n v="266"/>
    <s v="Appricots"/>
    <x v="2"/>
    <x v="263"/>
    <d v="2022-12-03T00:00:00"/>
    <x v="6"/>
    <d v="2020-06-28T00:00:00"/>
    <n v="1211.7"/>
  </r>
  <r>
    <n v="267"/>
    <s v="Appricots"/>
    <x v="3"/>
    <x v="264"/>
    <d v="2023-11-27T00:00:00"/>
    <x v="0"/>
    <d v="2019-06-05T00:00:00"/>
    <n v="1229.3000000000002"/>
  </r>
  <r>
    <n v="268"/>
    <s v="Appricots"/>
    <x v="1"/>
    <x v="265"/>
    <d v="2022-09-03T00:00:00"/>
    <x v="4"/>
    <d v="2023-11-21T00:00:00"/>
    <n v="1246.9000000000001"/>
  </r>
  <r>
    <n v="269"/>
    <s v="Appricots"/>
    <x v="0"/>
    <x v="266"/>
    <d v="2021-06-19T00:00:00"/>
    <x v="4"/>
    <d v="2019-04-14T00:00:00"/>
    <n v="1264.5"/>
  </r>
  <r>
    <n v="270"/>
    <s v="Appricots"/>
    <x v="0"/>
    <x v="267"/>
    <d v="2021-08-12T00:00:00"/>
    <x v="5"/>
    <d v="2019-11-20T00:00:00"/>
    <n v="1282.1000000000001"/>
  </r>
  <r>
    <n v="271"/>
    <s v="Appricots"/>
    <x v="0"/>
    <x v="268"/>
    <d v="2021-05-11T00:00:00"/>
    <x v="3"/>
    <d v="2019-11-22T00:00:00"/>
    <n v="1299.7"/>
  </r>
  <r>
    <n v="272"/>
    <s v="Carrots"/>
    <x v="1"/>
    <x v="269"/>
    <d v="2022-05-29T00:00:00"/>
    <x v="0"/>
    <d v="2023-08-30T00:00:00"/>
    <n v="1317.3000000000002"/>
  </r>
  <r>
    <n v="273"/>
    <s v="Apple"/>
    <x v="2"/>
    <x v="270"/>
    <d v="2020-11-22T00:00:00"/>
    <x v="6"/>
    <d v="2023-10-06T00:00:00"/>
    <n v="1334.9"/>
  </r>
  <r>
    <n v="274"/>
    <s v="Beans"/>
    <x v="3"/>
    <x v="271"/>
    <d v="2023-11-09T00:00:00"/>
    <x v="6"/>
    <d v="2023-05-20T00:00:00"/>
    <n v="1352.5"/>
  </r>
  <r>
    <n v="275"/>
    <s v="Orange"/>
    <x v="1"/>
    <x v="272"/>
    <d v="2023-10-07T00:00:00"/>
    <x v="0"/>
    <d v="2020-08-20T00:00:00"/>
    <n v="1370.1000000000001"/>
  </r>
  <r>
    <n v="276"/>
    <s v="Carrots"/>
    <x v="0"/>
    <x v="273"/>
    <d v="2022-03-18T00:00:00"/>
    <x v="4"/>
    <d v="2018-09-11T00:00:00"/>
    <n v="1387.7"/>
  </r>
  <r>
    <n v="277"/>
    <s v="Carrots"/>
    <x v="1"/>
    <x v="274"/>
    <d v="2022-08-29T00:00:00"/>
    <x v="4"/>
    <d v="2020-05-20T00:00:00"/>
    <n v="1405.3000000000002"/>
  </r>
  <r>
    <n v="278"/>
    <s v="Apple"/>
    <x v="2"/>
    <x v="275"/>
    <d v="2022-03-01T00:00:00"/>
    <x v="5"/>
    <d v="2021-04-20T00:00:00"/>
    <n v="1422.9"/>
  </r>
  <r>
    <n v="279"/>
    <s v="Apple"/>
    <x v="3"/>
    <x v="276"/>
    <d v="2020-05-25T00:00:00"/>
    <x v="3"/>
    <d v="2020-03-17T00:00:00"/>
    <n v="1440.5"/>
  </r>
  <r>
    <n v="280"/>
    <s v="Carrots"/>
    <x v="1"/>
    <x v="277"/>
    <d v="2021-03-03T00:00:00"/>
    <x v="0"/>
    <d v="2020-07-05T00:00:00"/>
    <n v="1458.1000000000001"/>
  </r>
  <r>
    <n v="281"/>
    <s v="Apple"/>
    <x v="0"/>
    <x v="278"/>
    <d v="2022-05-10T00:00:00"/>
    <x v="6"/>
    <d v="2021-06-16T00:00:00"/>
    <n v="1475.7"/>
  </r>
  <r>
    <n v="282"/>
    <s v="Beans"/>
    <x v="0"/>
    <x v="279"/>
    <d v="2020-08-28T00:00:00"/>
    <x v="6"/>
    <d v="2022-10-09T00:00:00"/>
    <n v="1493.3000000000002"/>
  </r>
  <r>
    <n v="283"/>
    <s v="Orange"/>
    <x v="0"/>
    <x v="280"/>
    <d v="2022-11-27T00:00:00"/>
    <x v="0"/>
    <d v="2021-06-17T00:00:00"/>
    <n v="1510.9"/>
  </r>
  <r>
    <n v="284"/>
    <s v="Carrots"/>
    <x v="1"/>
    <x v="281"/>
    <d v="2021-03-11T00:00:00"/>
    <x v="4"/>
    <d v="2022-07-17T00:00:00"/>
    <n v="1528.5"/>
  </r>
  <r>
    <n v="285"/>
    <s v="Carrots"/>
    <x v="2"/>
    <x v="282"/>
    <d v="2023-10-31T00:00:00"/>
    <x v="4"/>
    <d v="2019-09-28T00:00:00"/>
    <n v="1546.1000000000001"/>
  </r>
  <r>
    <n v="286"/>
    <s v="Apple"/>
    <x v="3"/>
    <x v="283"/>
    <d v="2021-10-30T00:00:00"/>
    <x v="5"/>
    <d v="2020-12-08T00:00:00"/>
    <n v="1563.7"/>
  </r>
  <r>
    <n v="287"/>
    <s v="Apple"/>
    <x v="1"/>
    <x v="284"/>
    <d v="2020-05-08T00:00:00"/>
    <x v="3"/>
    <d v="2019-11-17T00:00:00"/>
    <n v="1581.3000000000002"/>
  </r>
  <r>
    <n v="288"/>
    <s v="Carrots"/>
    <x v="0"/>
    <x v="285"/>
    <d v="2022-03-03T00:00:00"/>
    <x v="0"/>
    <d v="2023-09-09T00:00:00"/>
    <n v="1598.9"/>
  </r>
  <r>
    <n v="289"/>
    <s v="Apple"/>
    <x v="1"/>
    <x v="286"/>
    <d v="2022-11-03T00:00:00"/>
    <x v="6"/>
    <d v="2021-06-02T00:00:00"/>
    <n v="1616.5"/>
  </r>
  <r>
    <n v="290"/>
    <s v="Beans"/>
    <x v="2"/>
    <x v="287"/>
    <d v="2020-03-28T00:00:00"/>
    <x v="6"/>
    <d v="2019-04-11T00:00:00"/>
    <n v="1634.1000000000001"/>
  </r>
  <r>
    <n v="291"/>
    <s v="Orange"/>
    <x v="3"/>
    <x v="288"/>
    <d v="2020-02-22T00:00:00"/>
    <x v="0"/>
    <d v="2021-12-03T00:00:00"/>
    <n v="1651.7"/>
  </r>
  <r>
    <n v="292"/>
    <s v="Carrots"/>
    <x v="1"/>
    <x v="289"/>
    <d v="2021-10-06T00:00:00"/>
    <x v="4"/>
    <d v="2022-05-23T00:00:00"/>
    <n v="1669.3000000000002"/>
  </r>
  <r>
    <n v="293"/>
    <s v="Carrots"/>
    <x v="0"/>
    <x v="290"/>
    <d v="2022-03-25T00:00:00"/>
    <x v="4"/>
    <d v="2019-02-12T00:00:00"/>
    <n v="1686.9"/>
  </r>
  <r>
    <n v="294"/>
    <s v="Apple"/>
    <x v="0"/>
    <x v="291"/>
    <d v="2020-09-04T00:00:00"/>
    <x v="5"/>
    <d v="2020-12-20T00:00:00"/>
    <n v="1704.5"/>
  </r>
  <r>
    <n v="295"/>
    <s v="Apple"/>
    <x v="0"/>
    <x v="292"/>
    <d v="2023-07-15T00:00:00"/>
    <x v="3"/>
    <d v="2021-03-09T00:00:00"/>
    <n v="1722.1000000000001"/>
  </r>
  <r>
    <n v="296"/>
    <s v="Carrots"/>
    <x v="1"/>
    <x v="293"/>
    <d v="2021-03-28T00:00:00"/>
    <x v="0"/>
    <d v="2023-02-18T00:00:00"/>
    <n v="1739.7"/>
  </r>
  <r>
    <n v="297"/>
    <s v="Apple"/>
    <x v="2"/>
    <x v="294"/>
    <d v="2022-08-18T00:00:00"/>
    <x v="6"/>
    <d v="2018-12-30T00:00:00"/>
    <n v="1757.3000000000002"/>
  </r>
  <r>
    <n v="298"/>
    <s v="Beans"/>
    <x v="3"/>
    <x v="295"/>
    <d v="2021-12-13T00:00:00"/>
    <x v="6"/>
    <d v="2021-09-24T00:00:00"/>
    <n v="1774.9"/>
  </r>
  <r>
    <n v="299"/>
    <s v="Orange"/>
    <x v="1"/>
    <x v="296"/>
    <d v="2023-08-15T00:00:00"/>
    <x v="0"/>
    <d v="2023-05-31T00:00:00"/>
    <n v="1792.5"/>
  </r>
  <r>
    <n v="300"/>
    <s v="Carrots"/>
    <x v="0"/>
    <x v="297"/>
    <d v="2023-12-20T00:00:00"/>
    <x v="4"/>
    <d v="2023-08-22T00:00:00"/>
    <n v="1810.1000000000001"/>
  </r>
  <r>
    <n v="301"/>
    <s v="Carrots"/>
    <x v="1"/>
    <x v="298"/>
    <d v="2021-05-14T00:00:00"/>
    <x v="4"/>
    <d v="2022-12-05T00:00:00"/>
    <n v="1827.7"/>
  </r>
  <r>
    <n v="302"/>
    <s v="Appricots"/>
    <x v="2"/>
    <x v="299"/>
    <d v="2023-06-21T00:00:00"/>
    <x v="5"/>
    <d v="2021-03-24T00:00:00"/>
    <n v="1845.3000000000002"/>
  </r>
  <r>
    <n v="303"/>
    <s v="Appricots"/>
    <x v="3"/>
    <x v="300"/>
    <d v="2021-05-21T00:00:00"/>
    <x v="3"/>
    <d v="2020-04-26T00:00:00"/>
    <n v="1862.9"/>
  </r>
  <r>
    <n v="304"/>
    <s v="Appricots"/>
    <x v="1"/>
    <x v="301"/>
    <d v="2023-11-06T00:00:00"/>
    <x v="0"/>
    <d v="2023-02-19T00:00:00"/>
    <n v="1880.5"/>
  </r>
  <r>
    <n v="305"/>
    <s v="Appricots"/>
    <x v="0"/>
    <x v="302"/>
    <d v="2021-02-06T00:00:00"/>
    <x v="6"/>
    <d v="2020-02-19T00:00:00"/>
    <n v="1898.1000000000001"/>
  </r>
  <r>
    <n v="306"/>
    <s v="Appricots"/>
    <x v="0"/>
    <x v="303"/>
    <d v="2021-07-03T00:00:00"/>
    <x v="6"/>
    <d v="2023-09-29T00:00:00"/>
    <n v="1915.7"/>
  </r>
  <r>
    <n v="307"/>
    <s v="Appricots"/>
    <x v="0"/>
    <x v="304"/>
    <d v="2020-11-04T00:00:00"/>
    <x v="0"/>
    <d v="2019-03-19T00:00:00"/>
    <n v="1933.3000000000002"/>
  </r>
  <r>
    <n v="308"/>
    <s v="Appricots"/>
    <x v="1"/>
    <x v="305"/>
    <d v="2022-06-22T00:00:00"/>
    <x v="4"/>
    <d v="2020-12-09T00:00:00"/>
    <n v="1950.9"/>
  </r>
  <r>
    <n v="309"/>
    <s v="Appricots"/>
    <x v="2"/>
    <x v="306"/>
    <d v="2023-08-31T00:00:00"/>
    <x v="4"/>
    <d v="2022-06-11T00:00:00"/>
    <n v="1968.5"/>
  </r>
  <r>
    <n v="310"/>
    <s v="Appricots"/>
    <x v="3"/>
    <x v="307"/>
    <d v="2022-05-29T00:00:00"/>
    <x v="5"/>
    <d v="2020-08-07T00:00:00"/>
    <n v="1986.1000000000001"/>
  </r>
  <r>
    <n v="311"/>
    <s v="Appricots"/>
    <x v="1"/>
    <x v="308"/>
    <d v="2020-04-25T00:00:00"/>
    <x v="3"/>
    <d v="2020-05-17T00:00:00"/>
    <n v="3005.5499999999997"/>
  </r>
  <r>
    <n v="312"/>
    <s v="Appricots"/>
    <x v="0"/>
    <x v="309"/>
    <d v="2023-06-08T00:00:00"/>
    <x v="0"/>
    <d v="2019-05-14T00:00:00"/>
    <n v="3031.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s v="SLO7881"/>
    <x v="0"/>
    <n v="4.99"/>
    <n v="2"/>
    <n v="0.05"/>
    <x v="0"/>
    <n v="0.23"/>
  </r>
  <r>
    <s v="LAD7890"/>
    <x v="1"/>
    <n v="7.25"/>
    <n v="3"/>
    <n v="0.02"/>
    <x v="1"/>
    <n v="0.24"/>
  </r>
  <r>
    <s v="SLO7881"/>
    <x v="2"/>
    <n v="4.5"/>
    <n v="4"/>
    <n v="0.03"/>
    <x v="2"/>
    <n v="0.1"/>
  </r>
  <r>
    <s v="COL7886"/>
    <x v="3"/>
    <n v="89.79"/>
    <n v="5"/>
    <n v="0.04"/>
    <x v="3"/>
    <n v="0.12"/>
  </r>
  <r>
    <s v="GAR7883"/>
    <x v="4"/>
    <n v="3.99"/>
    <n v="6"/>
    <n v="0.05"/>
    <x v="4"/>
    <n v="0.04"/>
  </r>
  <r>
    <s v="CHE7888"/>
    <x v="5"/>
    <n v="78.900000000000006"/>
    <n v="7"/>
    <n v="0.06"/>
    <x v="5"/>
    <n v="0.05"/>
  </r>
  <r>
    <s v="FOI7885"/>
    <x v="6"/>
    <n v="7.87"/>
    <n v="8"/>
    <n v="7.0000000000000007E-2"/>
    <x v="6"/>
    <n v="0.06"/>
  </r>
  <r>
    <s v="MXR8820"/>
    <x v="7"/>
    <n v="14.09"/>
    <n v="9"/>
    <n v="0.08"/>
    <x v="7"/>
    <n v="7.0000000000000007E-2"/>
  </r>
  <r>
    <s v="MES7887"/>
    <x v="8"/>
    <n v="90.89"/>
    <n v="10"/>
    <n v="0.09"/>
    <x v="8"/>
    <n v="0.08"/>
  </r>
  <r>
    <s v="CHE7888"/>
    <x v="9"/>
    <n v="2.89"/>
    <n v="11"/>
    <n v="0.1"/>
    <x v="9"/>
    <n v="0.09"/>
  </r>
  <r>
    <s v="COP7889"/>
    <x v="10"/>
    <n v="55.59"/>
    <n v="12"/>
    <n v="0.11"/>
    <x v="10"/>
    <n v="0.1"/>
  </r>
  <r>
    <s v="RAM7890"/>
    <x v="11"/>
    <n v="11.89"/>
    <n v="13"/>
    <n v="0.12"/>
    <x v="11"/>
    <n v="0.23"/>
  </r>
  <r>
    <s v="RAM7892"/>
    <x v="12"/>
    <n v="31.89"/>
    <n v="14"/>
    <n v="0.13"/>
    <x v="12"/>
    <n v="0.24"/>
  </r>
  <r>
    <s v="RAM2003"/>
    <x v="13"/>
    <n v="51.89"/>
    <n v="15"/>
    <n v="0.14000000000000001"/>
    <x v="13"/>
    <n v="0.25"/>
  </r>
  <r>
    <s v="CAT6001"/>
    <x v="14"/>
    <n v="71.89"/>
    <n v="16"/>
    <n v="0.15"/>
    <x v="14"/>
    <n v="0.26"/>
  </r>
  <r>
    <s v="TF4005"/>
    <x v="15"/>
    <n v="91.89"/>
    <n v="17"/>
    <n v="0.16"/>
    <x v="15"/>
    <n v="0.27"/>
  </r>
  <r>
    <s v="GHC66554"/>
    <x v="16"/>
    <n v="45.33"/>
    <n v="25"/>
    <n v="0.05"/>
    <x v="16"/>
    <n v="0.21"/>
  </r>
  <r>
    <s v="BTL9001"/>
    <x v="17"/>
    <n v="3.75"/>
    <n v="2"/>
    <n v="0.02"/>
    <x v="0"/>
    <n v="0.1"/>
  </r>
  <r>
    <s v="PTS5602"/>
    <x v="18"/>
    <n v="6.99"/>
    <n v="5"/>
    <n v="0.05"/>
    <x v="2"/>
    <n v="0.12"/>
  </r>
  <r>
    <s v="FRP3403"/>
    <x v="19"/>
    <n v="79.989999999999995"/>
    <n v="3"/>
    <n v="7.0000000000000007E-2"/>
    <x v="6"/>
    <n v="0.15"/>
  </r>
  <r>
    <s v="MTB4504"/>
    <x v="20"/>
    <n v="45"/>
    <n v="4"/>
    <n v="0.09"/>
    <x v="7"/>
    <n v="0.18"/>
  </r>
  <r>
    <s v="JKT8705"/>
    <x v="21"/>
    <n v="69.900000000000006"/>
    <n v="2"/>
    <n v="0.1"/>
    <x v="9"/>
    <n v="0.11"/>
  </r>
  <r>
    <s v="SPN9012"/>
    <x v="22"/>
    <n v="8.49"/>
    <n v="6"/>
    <n v="0.06"/>
    <x v="4"/>
    <n v="0.09"/>
  </r>
  <r>
    <s v="MTB3107"/>
    <x v="23"/>
    <n v="39.99"/>
    <n v="3"/>
    <n v="0.08"/>
    <x v="8"/>
    <n v="0.13"/>
  </r>
  <r>
    <s v="GLS1120"/>
    <x v="24"/>
    <n v="12"/>
    <n v="4"/>
    <n v="0.05"/>
    <x v="13"/>
    <n v="0.17"/>
  </r>
  <r>
    <s v="BLN3345"/>
    <x v="25"/>
    <n v="19.95"/>
    <n v="5"/>
    <n v="0.04"/>
    <x v="11"/>
    <n v="0.16"/>
  </r>
  <r>
    <s v="OIL7771"/>
    <x v="26"/>
    <n v="22.5"/>
    <n v="2"/>
    <n v="7.0000000000000007E-2"/>
    <x v="10"/>
    <n v="0.14000000000000001"/>
  </r>
  <r>
    <s v="MXR8820"/>
    <x v="27"/>
    <n v="74.900000000000006"/>
    <n v="3"/>
    <n v="0.08"/>
    <x v="3"/>
    <n v="0.12"/>
  </r>
  <r>
    <s v="BSK2211"/>
    <x v="28"/>
    <n v="15.49"/>
    <n v="4"/>
    <n v="0.05"/>
    <x v="5"/>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78181-99A6-49BC-8115-8DB4B0A391CD}"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Q26" firstHeaderRow="1" firstDataRow="3" firstDataCol="1"/>
  <pivotFields count="8">
    <pivotField showAll="0"/>
    <pivotField showAll="0"/>
    <pivotField axis="axisRow" showAll="0">
      <items count="5">
        <item x="3"/>
        <item x="2"/>
        <item x="1"/>
        <item x="0"/>
        <item t="default"/>
      </items>
    </pivotField>
    <pivotField dataField="1" numFmtId="44" showAll="0"/>
    <pivotField numFmtId="14" showAll="0"/>
    <pivotField axis="axisCol" showAll="0">
      <items count="8">
        <item x="4"/>
        <item x="2"/>
        <item x="6"/>
        <item x="3"/>
        <item x="5"/>
        <item x="1"/>
        <item x="0"/>
        <item t="default"/>
      </items>
    </pivotField>
    <pivotField numFmtId="14" showAll="0"/>
    <pivotField dataField="1" showAll="0"/>
  </pivotFields>
  <rowFields count="1">
    <field x="2"/>
  </rowFields>
  <rowItems count="5">
    <i>
      <x/>
    </i>
    <i>
      <x v="1"/>
    </i>
    <i>
      <x v="2"/>
    </i>
    <i>
      <x v="3"/>
    </i>
    <i t="grand">
      <x/>
    </i>
  </rowItems>
  <colFields count="2">
    <field x="-2"/>
    <field x="5"/>
  </colFields>
  <colItems count="16">
    <i>
      <x/>
      <x/>
    </i>
    <i r="1">
      <x v="1"/>
    </i>
    <i r="1">
      <x v="2"/>
    </i>
    <i r="1">
      <x v="3"/>
    </i>
    <i r="1">
      <x v="4"/>
    </i>
    <i r="1">
      <x v="5"/>
    </i>
    <i r="1">
      <x v="6"/>
    </i>
    <i i="1">
      <x v="1"/>
      <x/>
    </i>
    <i r="1" i="1">
      <x v="1"/>
    </i>
    <i r="1" i="1">
      <x v="2"/>
    </i>
    <i r="1" i="1">
      <x v="3"/>
    </i>
    <i r="1" i="1">
      <x v="4"/>
    </i>
    <i r="1" i="1">
      <x v="5"/>
    </i>
    <i r="1" i="1">
      <x v="6"/>
    </i>
    <i t="grand">
      <x/>
    </i>
    <i t="grand" i="1">
      <x/>
    </i>
  </colItems>
  <dataFields count="2">
    <dataField name="Sum of Amount" fld="3" baseField="0" baseItem="0" numFmtId="44"/>
    <dataField name="Sum of TAX" fld="7"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1"/>
          </reference>
          <reference field="5" count="1" selected="0">
            <x v="0"/>
          </reference>
        </references>
      </pivotArea>
    </chartFormat>
    <chartFormat chart="0" format="8" series="1">
      <pivotArea type="data" outline="0" fieldPosition="0">
        <references count="2">
          <reference field="4294967294" count="1" selected="0">
            <x v="1"/>
          </reference>
          <reference field="5" count="1" selected="0">
            <x v="1"/>
          </reference>
        </references>
      </pivotArea>
    </chartFormat>
    <chartFormat chart="0" format="9" series="1">
      <pivotArea type="data" outline="0" fieldPosition="0">
        <references count="2">
          <reference field="4294967294" count="1" selected="0">
            <x v="1"/>
          </reference>
          <reference field="5" count="1" selected="0">
            <x v="2"/>
          </reference>
        </references>
      </pivotArea>
    </chartFormat>
    <chartFormat chart="0" format="10" series="1">
      <pivotArea type="data" outline="0" fieldPosition="0">
        <references count="2">
          <reference field="4294967294" count="1" selected="0">
            <x v="1"/>
          </reference>
          <reference field="5" count="1" selected="0">
            <x v="3"/>
          </reference>
        </references>
      </pivotArea>
    </chartFormat>
    <chartFormat chart="0" format="11" series="1">
      <pivotArea type="data" outline="0" fieldPosition="0">
        <references count="2">
          <reference field="4294967294" count="1" selected="0">
            <x v="1"/>
          </reference>
          <reference field="5" count="1" selected="0">
            <x v="4"/>
          </reference>
        </references>
      </pivotArea>
    </chartFormat>
    <chartFormat chart="0" format="12" series="1">
      <pivotArea type="data" outline="0" fieldPosition="0">
        <references count="2">
          <reference field="4294967294" count="1" selected="0">
            <x v="1"/>
          </reference>
          <reference field="5" count="1" selected="0">
            <x v="5"/>
          </reference>
        </references>
      </pivotArea>
    </chartFormat>
    <chartFormat chart="0" format="13" series="1">
      <pivotArea type="data" outline="0" fieldPosition="0">
        <references count="2">
          <reference field="4294967294" count="1" selected="0">
            <x v="1"/>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A7FAF8-9E33-4648-8CCC-41CE0FA198A0}"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K9" firstHeaderRow="1" firstDataRow="3" firstDataCol="1"/>
  <pivotFields count="8">
    <pivotField showAll="0"/>
    <pivotField showAll="0"/>
    <pivotField axis="axisCol" showAll="0">
      <items count="5">
        <item x="3"/>
        <item x="2"/>
        <item x="1"/>
        <item x="0"/>
        <item t="default"/>
      </items>
    </pivotField>
    <pivotField dataField="1" numFmtId="44" showAll="0"/>
    <pivotField numFmtId="14" showAll="0"/>
    <pivotField axis="axisRow" showAll="0">
      <items count="8">
        <item h="1" x="4"/>
        <item x="2"/>
        <item x="6"/>
        <item x="3"/>
        <item h="1" x="5"/>
        <item h="1" x="1"/>
        <item h="1" x="0"/>
        <item t="default"/>
      </items>
    </pivotField>
    <pivotField numFmtId="14" showAll="0"/>
    <pivotField dataField="1" showAll="0"/>
  </pivotFields>
  <rowFields count="1">
    <field x="5"/>
  </rowFields>
  <rowItems count="4">
    <i>
      <x v="1"/>
    </i>
    <i>
      <x v="2"/>
    </i>
    <i>
      <x v="3"/>
    </i>
    <i t="grand">
      <x/>
    </i>
  </rowItems>
  <colFields count="2">
    <field x="-2"/>
    <field x="2"/>
  </colFields>
  <colItems count="10">
    <i>
      <x/>
      <x/>
    </i>
    <i r="1">
      <x v="1"/>
    </i>
    <i r="1">
      <x v="2"/>
    </i>
    <i r="1">
      <x v="3"/>
    </i>
    <i i="1">
      <x v="1"/>
      <x/>
    </i>
    <i r="1" i="1">
      <x v="1"/>
    </i>
    <i r="1" i="1">
      <x v="2"/>
    </i>
    <i r="1" i="1">
      <x v="3"/>
    </i>
    <i t="grand">
      <x/>
    </i>
    <i t="grand" i="1">
      <x/>
    </i>
  </colItems>
  <dataFields count="2">
    <dataField name="Sum of Amount" fld="3" baseField="0" baseItem="0" numFmtId="44"/>
    <dataField name="Sum of TAX" fld="7"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1"/>
          </reference>
          <reference field="2" count="1" selected="0">
            <x v="0"/>
          </reference>
        </references>
      </pivotArea>
    </chartFormat>
    <chartFormat chart="2" format="5" series="1">
      <pivotArea type="data" outline="0" fieldPosition="0">
        <references count="2">
          <reference field="4294967294" count="1" selected="0">
            <x v="1"/>
          </reference>
          <reference field="2" count="1" selected="0">
            <x v="1"/>
          </reference>
        </references>
      </pivotArea>
    </chartFormat>
    <chartFormat chart="2" format="6" series="1">
      <pivotArea type="data" outline="0" fieldPosition="0">
        <references count="2">
          <reference field="4294967294" count="1" selected="0">
            <x v="1"/>
          </reference>
          <reference field="2" count="1" selected="0">
            <x v="2"/>
          </reference>
        </references>
      </pivotArea>
    </chartFormat>
    <chartFormat chart="2" format="7" series="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50534A-F12F-4CC3-980F-F9388C115F8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12" firstHeaderRow="1" firstDataRow="2" firstDataCol="1"/>
  <pivotFields count="8">
    <pivotField showAll="0"/>
    <pivotField showAll="0"/>
    <pivotField axis="axisCol" showAll="0">
      <items count="5">
        <item x="3"/>
        <item x="2"/>
        <item x="1"/>
        <item x="0"/>
        <item t="default"/>
      </items>
    </pivotField>
    <pivotField dataField="1" numFmtId="44" showAll="0"/>
    <pivotField numFmtId="14" showAll="0"/>
    <pivotField axis="axisRow" showAll="0">
      <items count="8">
        <item x="4"/>
        <item x="2"/>
        <item x="6"/>
        <item x="3"/>
        <item x="5"/>
        <item x="1"/>
        <item x="0"/>
        <item t="default"/>
      </items>
    </pivotField>
    <pivotField numFmtId="14" showAll="0"/>
    <pivotField showAll="0"/>
  </pivotFields>
  <rowFields count="1">
    <field x="5"/>
  </rowFields>
  <rowItems count="8">
    <i>
      <x/>
    </i>
    <i>
      <x v="1"/>
    </i>
    <i>
      <x v="2"/>
    </i>
    <i>
      <x v="3"/>
    </i>
    <i>
      <x v="4"/>
    </i>
    <i>
      <x v="5"/>
    </i>
    <i>
      <x v="6"/>
    </i>
    <i t="grand">
      <x/>
    </i>
  </rowItems>
  <colFields count="1">
    <field x="2"/>
  </colFields>
  <colItems count="5">
    <i>
      <x/>
    </i>
    <i>
      <x v="1"/>
    </i>
    <i>
      <x v="2"/>
    </i>
    <i>
      <x v="3"/>
    </i>
    <i t="grand">
      <x/>
    </i>
  </colItems>
  <dataFields count="1">
    <dataField name="Sum of Amount" fld="3" baseField="0" baseItem="0" numFmtId="44"/>
  </dataFields>
  <formats count="10">
    <format dxfId="52">
      <pivotArea type="all" dataOnly="0" outline="0" fieldPosition="0"/>
    </format>
    <format dxfId="51">
      <pivotArea outline="0" collapsedLevelsAreSubtotals="1" fieldPosition="0"/>
    </format>
    <format dxfId="50">
      <pivotArea type="origin" dataOnly="0" labelOnly="1" outline="0" fieldPosition="0"/>
    </format>
    <format dxfId="49">
      <pivotArea field="2" type="button" dataOnly="0" labelOnly="1" outline="0" axis="axisCol" fieldPosition="0"/>
    </format>
    <format dxfId="48">
      <pivotArea type="topRight" dataOnly="0" labelOnly="1" outline="0"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fieldPosition="0">
        <references count="1">
          <reference field="2" count="0"/>
        </references>
      </pivotArea>
    </format>
    <format dxfId="43">
      <pivotArea dataOnly="0" labelOnly="1" grandCol="1" outline="0" fieldPosition="0"/>
    </format>
  </formats>
  <chartFormats count="3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3">
          <reference field="4294967294" count="1" selected="0">
            <x v="0"/>
          </reference>
          <reference field="2" count="1" selected="0">
            <x v="0"/>
          </reference>
          <reference field="5" count="1" selected="0">
            <x v="0"/>
          </reference>
        </references>
      </pivotArea>
    </chartFormat>
    <chartFormat chart="0" format="5">
      <pivotArea type="data" outline="0" fieldPosition="0">
        <references count="3">
          <reference field="4294967294" count="1" selected="0">
            <x v="0"/>
          </reference>
          <reference field="2" count="1" selected="0">
            <x v="0"/>
          </reference>
          <reference field="5" count="1" selected="0">
            <x v="1"/>
          </reference>
        </references>
      </pivotArea>
    </chartFormat>
    <chartFormat chart="0" format="6">
      <pivotArea type="data" outline="0" fieldPosition="0">
        <references count="3">
          <reference field="4294967294" count="1" selected="0">
            <x v="0"/>
          </reference>
          <reference field="2" count="1" selected="0">
            <x v="0"/>
          </reference>
          <reference field="5" count="1" selected="0">
            <x v="2"/>
          </reference>
        </references>
      </pivotArea>
    </chartFormat>
    <chartFormat chart="0" format="7">
      <pivotArea type="data" outline="0" fieldPosition="0">
        <references count="3">
          <reference field="4294967294" count="1" selected="0">
            <x v="0"/>
          </reference>
          <reference field="2" count="1" selected="0">
            <x v="0"/>
          </reference>
          <reference field="5" count="1" selected="0">
            <x v="3"/>
          </reference>
        </references>
      </pivotArea>
    </chartFormat>
    <chartFormat chart="0" format="8">
      <pivotArea type="data" outline="0" fieldPosition="0">
        <references count="3">
          <reference field="4294967294" count="1" selected="0">
            <x v="0"/>
          </reference>
          <reference field="2" count="1" selected="0">
            <x v="0"/>
          </reference>
          <reference field="5" count="1" selected="0">
            <x v="4"/>
          </reference>
        </references>
      </pivotArea>
    </chartFormat>
    <chartFormat chart="0" format="9">
      <pivotArea type="data" outline="0" fieldPosition="0">
        <references count="3">
          <reference field="4294967294" count="1" selected="0">
            <x v="0"/>
          </reference>
          <reference field="2" count="1" selected="0">
            <x v="0"/>
          </reference>
          <reference field="5" count="1" selected="0">
            <x v="5"/>
          </reference>
        </references>
      </pivotArea>
    </chartFormat>
    <chartFormat chart="0" format="10">
      <pivotArea type="data" outline="0" fieldPosition="0">
        <references count="3">
          <reference field="4294967294" count="1" selected="0">
            <x v="0"/>
          </reference>
          <reference field="2" count="1" selected="0">
            <x v="0"/>
          </reference>
          <reference field="5" count="1" selected="0">
            <x v="6"/>
          </reference>
        </references>
      </pivotArea>
    </chartFormat>
    <chartFormat chart="0" format="11">
      <pivotArea type="data" outline="0" fieldPosition="0">
        <references count="3">
          <reference field="4294967294" count="1" selected="0">
            <x v="0"/>
          </reference>
          <reference field="2" count="1" selected="0">
            <x v="1"/>
          </reference>
          <reference field="5" count="1" selected="0">
            <x v="0"/>
          </reference>
        </references>
      </pivotArea>
    </chartFormat>
    <chartFormat chart="0" format="12">
      <pivotArea type="data" outline="0" fieldPosition="0">
        <references count="3">
          <reference field="4294967294" count="1" selected="0">
            <x v="0"/>
          </reference>
          <reference field="2" count="1" selected="0">
            <x v="1"/>
          </reference>
          <reference field="5" count="1" selected="0">
            <x v="1"/>
          </reference>
        </references>
      </pivotArea>
    </chartFormat>
    <chartFormat chart="0" format="13">
      <pivotArea type="data" outline="0" fieldPosition="0">
        <references count="3">
          <reference field="4294967294" count="1" selected="0">
            <x v="0"/>
          </reference>
          <reference field="2" count="1" selected="0">
            <x v="1"/>
          </reference>
          <reference field="5" count="1" selected="0">
            <x v="2"/>
          </reference>
        </references>
      </pivotArea>
    </chartFormat>
    <chartFormat chart="0" format="14">
      <pivotArea type="data" outline="0" fieldPosition="0">
        <references count="3">
          <reference field="4294967294" count="1" selected="0">
            <x v="0"/>
          </reference>
          <reference field="2" count="1" selected="0">
            <x v="1"/>
          </reference>
          <reference field="5" count="1" selected="0">
            <x v="3"/>
          </reference>
        </references>
      </pivotArea>
    </chartFormat>
    <chartFormat chart="0" format="15">
      <pivotArea type="data" outline="0" fieldPosition="0">
        <references count="3">
          <reference field="4294967294" count="1" selected="0">
            <x v="0"/>
          </reference>
          <reference field="2" count="1" selected="0">
            <x v="1"/>
          </reference>
          <reference field="5" count="1" selected="0">
            <x v="4"/>
          </reference>
        </references>
      </pivotArea>
    </chartFormat>
    <chartFormat chart="0" format="16">
      <pivotArea type="data" outline="0" fieldPosition="0">
        <references count="3">
          <reference field="4294967294" count="1" selected="0">
            <x v="0"/>
          </reference>
          <reference field="2" count="1" selected="0">
            <x v="1"/>
          </reference>
          <reference field="5" count="1" selected="0">
            <x v="5"/>
          </reference>
        </references>
      </pivotArea>
    </chartFormat>
    <chartFormat chart="0" format="17">
      <pivotArea type="data" outline="0" fieldPosition="0">
        <references count="3">
          <reference field="4294967294" count="1" selected="0">
            <x v="0"/>
          </reference>
          <reference field="2" count="1" selected="0">
            <x v="1"/>
          </reference>
          <reference field="5" count="1" selected="0">
            <x v="6"/>
          </reference>
        </references>
      </pivotArea>
    </chartFormat>
    <chartFormat chart="0" format="18">
      <pivotArea type="data" outline="0" fieldPosition="0">
        <references count="3">
          <reference field="4294967294" count="1" selected="0">
            <x v="0"/>
          </reference>
          <reference field="2" count="1" selected="0">
            <x v="2"/>
          </reference>
          <reference field="5" count="1" selected="0">
            <x v="0"/>
          </reference>
        </references>
      </pivotArea>
    </chartFormat>
    <chartFormat chart="0" format="19">
      <pivotArea type="data" outline="0" fieldPosition="0">
        <references count="3">
          <reference field="4294967294" count="1" selected="0">
            <x v="0"/>
          </reference>
          <reference field="2" count="1" selected="0">
            <x v="2"/>
          </reference>
          <reference field="5" count="1" selected="0">
            <x v="1"/>
          </reference>
        </references>
      </pivotArea>
    </chartFormat>
    <chartFormat chart="0" format="20">
      <pivotArea type="data" outline="0" fieldPosition="0">
        <references count="3">
          <reference field="4294967294" count="1" selected="0">
            <x v="0"/>
          </reference>
          <reference field="2" count="1" selected="0">
            <x v="2"/>
          </reference>
          <reference field="5" count="1" selected="0">
            <x v="2"/>
          </reference>
        </references>
      </pivotArea>
    </chartFormat>
    <chartFormat chart="0" format="21">
      <pivotArea type="data" outline="0" fieldPosition="0">
        <references count="3">
          <reference field="4294967294" count="1" selected="0">
            <x v="0"/>
          </reference>
          <reference field="2" count="1" selected="0">
            <x v="2"/>
          </reference>
          <reference field="5" count="1" selected="0">
            <x v="3"/>
          </reference>
        </references>
      </pivotArea>
    </chartFormat>
    <chartFormat chart="0" format="22">
      <pivotArea type="data" outline="0" fieldPosition="0">
        <references count="3">
          <reference field="4294967294" count="1" selected="0">
            <x v="0"/>
          </reference>
          <reference field="2" count="1" selected="0">
            <x v="2"/>
          </reference>
          <reference field="5" count="1" selected="0">
            <x v="4"/>
          </reference>
        </references>
      </pivotArea>
    </chartFormat>
    <chartFormat chart="0" format="23">
      <pivotArea type="data" outline="0" fieldPosition="0">
        <references count="3">
          <reference field="4294967294" count="1" selected="0">
            <x v="0"/>
          </reference>
          <reference field="2" count="1" selected="0">
            <x v="2"/>
          </reference>
          <reference field="5" count="1" selected="0">
            <x v="5"/>
          </reference>
        </references>
      </pivotArea>
    </chartFormat>
    <chartFormat chart="0" format="24">
      <pivotArea type="data" outline="0" fieldPosition="0">
        <references count="3">
          <reference field="4294967294" count="1" selected="0">
            <x v="0"/>
          </reference>
          <reference field="2" count="1" selected="0">
            <x v="2"/>
          </reference>
          <reference field="5" count="1" selected="0">
            <x v="6"/>
          </reference>
        </references>
      </pivotArea>
    </chartFormat>
    <chartFormat chart="0" format="25">
      <pivotArea type="data" outline="0" fieldPosition="0">
        <references count="3">
          <reference field="4294967294" count="1" selected="0">
            <x v="0"/>
          </reference>
          <reference field="2" count="1" selected="0">
            <x v="3"/>
          </reference>
          <reference field="5" count="1" selected="0">
            <x v="0"/>
          </reference>
        </references>
      </pivotArea>
    </chartFormat>
    <chartFormat chart="0" format="26">
      <pivotArea type="data" outline="0" fieldPosition="0">
        <references count="3">
          <reference field="4294967294" count="1" selected="0">
            <x v="0"/>
          </reference>
          <reference field="2" count="1" selected="0">
            <x v="3"/>
          </reference>
          <reference field="5" count="1" selected="0">
            <x v="1"/>
          </reference>
        </references>
      </pivotArea>
    </chartFormat>
    <chartFormat chart="0" format="27">
      <pivotArea type="data" outline="0" fieldPosition="0">
        <references count="3">
          <reference field="4294967294" count="1" selected="0">
            <x v="0"/>
          </reference>
          <reference field="2" count="1" selected="0">
            <x v="3"/>
          </reference>
          <reference field="5" count="1" selected="0">
            <x v="2"/>
          </reference>
        </references>
      </pivotArea>
    </chartFormat>
    <chartFormat chart="0" format="28">
      <pivotArea type="data" outline="0" fieldPosition="0">
        <references count="3">
          <reference field="4294967294" count="1" selected="0">
            <x v="0"/>
          </reference>
          <reference field="2" count="1" selected="0">
            <x v="3"/>
          </reference>
          <reference field="5" count="1" selected="0">
            <x v="3"/>
          </reference>
        </references>
      </pivotArea>
    </chartFormat>
    <chartFormat chart="0" format="29">
      <pivotArea type="data" outline="0" fieldPosition="0">
        <references count="3">
          <reference field="4294967294" count="1" selected="0">
            <x v="0"/>
          </reference>
          <reference field="2" count="1" selected="0">
            <x v="3"/>
          </reference>
          <reference field="5" count="1" selected="0">
            <x v="4"/>
          </reference>
        </references>
      </pivotArea>
    </chartFormat>
    <chartFormat chart="0" format="30">
      <pivotArea type="data" outline="0" fieldPosition="0">
        <references count="3">
          <reference field="4294967294" count="1" selected="0">
            <x v="0"/>
          </reference>
          <reference field="2" count="1" selected="0">
            <x v="3"/>
          </reference>
          <reference field="5" count="1" selected="0">
            <x v="5"/>
          </reference>
        </references>
      </pivotArea>
    </chartFormat>
    <chartFormat chart="0" format="31">
      <pivotArea type="data" outline="0" fieldPosition="0">
        <references count="3">
          <reference field="4294967294" count="1" selected="0">
            <x v="0"/>
          </reference>
          <reference field="2" count="1" selected="0">
            <x v="3"/>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0771A4-6B11-42BF-B91A-042E94E985B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3:J9" firstHeaderRow="1" firstDataRow="1" firstDataCol="1"/>
  <pivotFields count="8">
    <pivotField showAll="0"/>
    <pivotField showAll="0"/>
    <pivotField showAll="0">
      <items count="5">
        <item x="3"/>
        <item x="2"/>
        <item x="1"/>
        <item x="0"/>
        <item t="default"/>
      </items>
    </pivotField>
    <pivotField dataField="1" numFmtId="44" showAll="0"/>
    <pivotField numFmtId="14" showAll="0"/>
    <pivotField axis="axisRow" showAll="0">
      <items count="8">
        <item x="4"/>
        <item h="1" x="2"/>
        <item h="1" x="6"/>
        <item x="3"/>
        <item x="5"/>
        <item x="1"/>
        <item x="0"/>
        <item t="default"/>
      </items>
    </pivotField>
    <pivotField numFmtId="14" showAll="0"/>
    <pivotField showAll="0"/>
  </pivotFields>
  <rowFields count="1">
    <field x="5"/>
  </rowFields>
  <rowItems count="6">
    <i>
      <x/>
    </i>
    <i>
      <x v="3"/>
    </i>
    <i>
      <x v="4"/>
    </i>
    <i>
      <x v="5"/>
    </i>
    <i>
      <x v="6"/>
    </i>
    <i t="grand">
      <x/>
    </i>
  </rowItems>
  <colItems count="1">
    <i/>
  </colItems>
  <dataFields count="1">
    <dataField name="Average of Amount" fld="3" subtotal="average" baseField="5" baseItem="0" numFmtId="44"/>
  </dataFields>
  <formats count="15">
    <format dxfId="67">
      <pivotArea type="all" dataOnly="0" outline="0" fieldPosition="0"/>
    </format>
    <format dxfId="66">
      <pivotArea outline="0" collapsedLevelsAreSubtotals="1" fieldPosition="0"/>
    </format>
    <format dxfId="65">
      <pivotArea type="origin" dataOnly="0" labelOnly="1" outline="0" fieldPosition="0"/>
    </format>
    <format dxfId="64">
      <pivotArea field="2" type="button" dataOnly="0" labelOnly="1" outline="0"/>
    </format>
    <format dxfId="63">
      <pivotArea type="topRight" dataOnly="0" labelOnly="1" outline="0"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grandCol="1" outline="0" fieldPosition="0"/>
    </format>
    <format dxfId="58">
      <pivotArea type="all" dataOnly="0" outline="0" fieldPosition="0"/>
    </format>
    <format dxfId="57">
      <pivotArea outline="0" collapsedLevelsAreSubtotals="1" fieldPosition="0"/>
    </format>
    <format dxfId="56">
      <pivotArea field="5" type="button" dataOnly="0" labelOnly="1" outline="0" axis="axisRow" fieldPosition="0"/>
    </format>
    <format dxfId="55">
      <pivotArea dataOnly="0" labelOnly="1" fieldPosition="0">
        <references count="1">
          <reference field="5" count="0"/>
        </references>
      </pivotArea>
    </format>
    <format dxfId="54">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46E298-72C4-4B38-B5B5-3E6E749E6EF5}"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1" firstHeaderRow="1" firstDataRow="1" firstDataCol="1"/>
  <pivotFields count="8">
    <pivotField showAll="0"/>
    <pivotField showAll="0"/>
    <pivotField showAll="0">
      <items count="5">
        <item x="3"/>
        <item x="2"/>
        <item x="1"/>
        <item x="0"/>
        <item t="default"/>
      </items>
    </pivotField>
    <pivotField dataField="1" numFmtId="44" showAll="0"/>
    <pivotField numFmtId="14" showAll="0"/>
    <pivotField axis="axisRow" showAll="0">
      <items count="8">
        <item x="4"/>
        <item h="1" x="2"/>
        <item h="1" x="6"/>
        <item x="3"/>
        <item x="5"/>
        <item x="1"/>
        <item x="0"/>
        <item t="default"/>
      </items>
    </pivotField>
    <pivotField numFmtId="14" showAll="0"/>
    <pivotField showAll="0"/>
  </pivotFields>
  <rowFields count="1">
    <field x="5"/>
  </rowFields>
  <rowItems count="6">
    <i>
      <x/>
    </i>
    <i>
      <x v="3"/>
    </i>
    <i>
      <x v="4"/>
    </i>
    <i>
      <x v="5"/>
    </i>
    <i>
      <x v="6"/>
    </i>
    <i t="grand">
      <x/>
    </i>
  </rowItems>
  <colItems count="1">
    <i/>
  </colItems>
  <dataFields count="1">
    <dataField name="Max of Amount" fld="3" subtotal="max" baseField="5" baseItem="0" numFmtId="44"/>
  </dataFields>
  <formats count="15">
    <format dxfId="82">
      <pivotArea type="all" dataOnly="0" outline="0" fieldPosition="0"/>
    </format>
    <format dxfId="81">
      <pivotArea outline="0" collapsedLevelsAreSubtotals="1" fieldPosition="0"/>
    </format>
    <format dxfId="80">
      <pivotArea type="origin" dataOnly="0" labelOnly="1" outline="0" fieldPosition="0"/>
    </format>
    <format dxfId="79">
      <pivotArea field="2" type="button" dataOnly="0" labelOnly="1" outline="0"/>
    </format>
    <format dxfId="78">
      <pivotArea type="topRight" dataOnly="0" labelOnly="1" outline="0" fieldPosition="0"/>
    </format>
    <format dxfId="77">
      <pivotArea field="5" type="button" dataOnly="0" labelOnly="1" outline="0" axis="axisRow" fieldPosition="0"/>
    </format>
    <format dxfId="76">
      <pivotArea dataOnly="0" labelOnly="1" fieldPosition="0">
        <references count="1">
          <reference field="5" count="0"/>
        </references>
      </pivotArea>
    </format>
    <format dxfId="75">
      <pivotArea dataOnly="0" labelOnly="1" grandRow="1" outline="0" fieldPosition="0"/>
    </format>
    <format dxfId="74">
      <pivotArea dataOnly="0" labelOnly="1" grandCol="1" outline="0" fieldPosition="0"/>
    </format>
    <format dxfId="73">
      <pivotArea type="all" dataOnly="0" outline="0" fieldPosition="0"/>
    </format>
    <format dxfId="72">
      <pivotArea outline="0" collapsedLevelsAreSubtotals="1" fieldPosition="0"/>
    </format>
    <format dxfId="71">
      <pivotArea field="5" type="button" dataOnly="0" labelOnly="1" outline="0" axis="axisRow" fieldPosition="0"/>
    </format>
    <format dxfId="70">
      <pivotArea dataOnly="0" labelOnly="1" fieldPosition="0">
        <references count="1">
          <reference field="5" count="0"/>
        </references>
      </pivotArea>
    </format>
    <format dxfId="69">
      <pivotArea dataOnly="0" labelOnly="1" grandRow="1" outline="0" fieldPosition="0"/>
    </format>
    <format dxfId="68">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2AF15A-6078-4362-89F1-35ACAA1D341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I22" firstHeaderRow="1" firstDataRow="2" firstDataCol="1"/>
  <pivotFields count="8">
    <pivotField showAll="0"/>
    <pivotField showAll="0"/>
    <pivotField axis="axisRow" showAll="0">
      <items count="5">
        <item x="3"/>
        <item x="2"/>
        <item x="1"/>
        <item x="0"/>
        <item t="default"/>
      </items>
    </pivotField>
    <pivotField dataField="1" numFmtId="44" showAll="0"/>
    <pivotField numFmtId="14" showAll="0"/>
    <pivotField axis="axisCol" showAll="0">
      <items count="8">
        <item x="4"/>
        <item x="2"/>
        <item x="6"/>
        <item x="3"/>
        <item x="5"/>
        <item x="1"/>
        <item x="0"/>
        <item t="default"/>
      </items>
    </pivotField>
    <pivotField numFmtId="14" showAll="0"/>
    <pivotField showAll="0"/>
  </pivotFields>
  <rowFields count="1">
    <field x="2"/>
  </rowFields>
  <rowItems count="5">
    <i>
      <x/>
    </i>
    <i>
      <x v="1"/>
    </i>
    <i>
      <x v="2"/>
    </i>
    <i>
      <x v="3"/>
    </i>
    <i t="grand">
      <x/>
    </i>
  </rowItems>
  <colFields count="1">
    <field x="5"/>
  </colFields>
  <colItems count="8">
    <i>
      <x/>
    </i>
    <i>
      <x v="1"/>
    </i>
    <i>
      <x v="2"/>
    </i>
    <i>
      <x v="3"/>
    </i>
    <i>
      <x v="4"/>
    </i>
    <i>
      <x v="5"/>
    </i>
    <i>
      <x v="6"/>
    </i>
    <i t="grand">
      <x/>
    </i>
  </colItems>
  <dataFields count="1">
    <dataField name="Sum of Amount" fld="3" baseField="0" baseItem="0" numFmtId="44"/>
  </dataFields>
  <formats count="10">
    <format dxfId="92">
      <pivotArea type="all" dataOnly="0" outline="0" fieldPosition="0"/>
    </format>
    <format dxfId="91">
      <pivotArea outline="0" collapsedLevelsAreSubtotals="1" fieldPosition="0"/>
    </format>
    <format dxfId="90">
      <pivotArea type="origin" dataOnly="0" labelOnly="1" outline="0" fieldPosition="0"/>
    </format>
    <format dxfId="89">
      <pivotArea field="5" type="button" dataOnly="0" labelOnly="1" outline="0" axis="axisCol" fieldPosition="0"/>
    </format>
    <format dxfId="88">
      <pivotArea type="topRight" dataOnly="0" labelOnly="1" outline="0" fieldPosition="0"/>
    </format>
    <format dxfId="87">
      <pivotArea field="2" type="button" dataOnly="0" labelOnly="1" outline="0" axis="axisRow" fieldPosition="0"/>
    </format>
    <format dxfId="86">
      <pivotArea dataOnly="0" labelOnly="1" fieldPosition="0">
        <references count="1">
          <reference field="2" count="0"/>
        </references>
      </pivotArea>
    </format>
    <format dxfId="85">
      <pivotArea dataOnly="0" labelOnly="1" grandRow="1" outline="0" fieldPosition="0"/>
    </format>
    <format dxfId="84">
      <pivotArea dataOnly="0" labelOnly="1" fieldPosition="0">
        <references count="1">
          <reference field="5" count="0"/>
        </references>
      </pivotArea>
    </format>
    <format dxfId="83">
      <pivotArea dataOnly="0" labelOnly="1" grandCol="1" outline="0" fieldPosition="0"/>
    </format>
  </format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6E4813-6A27-46AA-B2E8-18401DD1585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F27" firstHeaderRow="1" firstDataRow="2" firstDataCol="1"/>
  <pivotFields count="8">
    <pivotField showAll="0"/>
    <pivotField showAll="0"/>
    <pivotField axis="axisCol" showAll="0">
      <items count="5">
        <item x="3"/>
        <item x="2"/>
        <item x="1"/>
        <item x="0"/>
        <item t="default"/>
      </items>
    </pivotField>
    <pivotField dataField="1" numFmtId="44" showAll="0"/>
    <pivotField numFmtId="14" showAll="0"/>
    <pivotField axis="axisRow" showAll="0">
      <items count="8">
        <item x="4"/>
        <item x="2"/>
        <item x="6"/>
        <item x="3"/>
        <item x="5"/>
        <item x="1"/>
        <item x="0"/>
        <item t="default"/>
      </items>
    </pivotField>
    <pivotField numFmtId="14" showAll="0"/>
    <pivotField showAll="0"/>
  </pivotFields>
  <rowFields count="1">
    <field x="5"/>
  </rowFields>
  <rowItems count="8">
    <i>
      <x/>
    </i>
    <i>
      <x v="1"/>
    </i>
    <i>
      <x v="2"/>
    </i>
    <i>
      <x v="3"/>
    </i>
    <i>
      <x v="4"/>
    </i>
    <i>
      <x v="5"/>
    </i>
    <i>
      <x v="6"/>
    </i>
    <i t="grand">
      <x/>
    </i>
  </rowItems>
  <colFields count="1">
    <field x="2"/>
  </colFields>
  <colItems count="5">
    <i>
      <x/>
    </i>
    <i>
      <x v="1"/>
    </i>
    <i>
      <x v="2"/>
    </i>
    <i>
      <x v="3"/>
    </i>
    <i t="grand">
      <x/>
    </i>
  </colItems>
  <dataFields count="1">
    <dataField name="Sum of Amount"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3BA0B6-9B24-4A3D-BCCC-2EF2131675F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I9" firstHeaderRow="1" firstDataRow="2" firstDataCol="1"/>
  <pivotFields count="8">
    <pivotField showAll="0"/>
    <pivotField showAll="0"/>
    <pivotField axis="axisRow" showAll="0">
      <items count="5">
        <item x="3"/>
        <item x="2"/>
        <item x="1"/>
        <item x="0"/>
        <item t="default"/>
      </items>
    </pivotField>
    <pivotField dataField="1" numFmtId="44" showAll="0"/>
    <pivotField numFmtId="14" showAll="0"/>
    <pivotField axis="axisCol" showAll="0">
      <items count="8">
        <item x="4"/>
        <item x="2"/>
        <item x="6"/>
        <item x="3"/>
        <item x="5"/>
        <item x="1"/>
        <item x="0"/>
        <item t="default"/>
      </items>
    </pivotField>
    <pivotField numFmtId="14" showAll="0"/>
    <pivotField showAll="0"/>
  </pivotFields>
  <rowFields count="1">
    <field x="2"/>
  </rowFields>
  <rowItems count="5">
    <i>
      <x/>
    </i>
    <i>
      <x v="1"/>
    </i>
    <i>
      <x v="2"/>
    </i>
    <i>
      <x v="3"/>
    </i>
    <i t="grand">
      <x/>
    </i>
  </rowItems>
  <colFields count="1">
    <field x="5"/>
  </colFields>
  <colItems count="8">
    <i>
      <x/>
    </i>
    <i>
      <x v="1"/>
    </i>
    <i>
      <x v="2"/>
    </i>
    <i>
      <x v="3"/>
    </i>
    <i>
      <x v="4"/>
    </i>
    <i>
      <x v="5"/>
    </i>
    <i>
      <x v="6"/>
    </i>
    <i t="grand">
      <x/>
    </i>
  </colItems>
  <dataFields count="1">
    <dataField name="Sum of Amount" fld="3" baseField="0" baseItem="0" numFmtId="44"/>
  </dataFields>
  <chartFormats count="7">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CF3FD6-435A-4323-AEA9-FEDE153D3A5A}"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G30" firstHeaderRow="1" firstDataRow="2" firstDataCol="1"/>
  <pivotFields count="8">
    <pivotField showAll="0"/>
    <pivotField showAll="0"/>
    <pivotField axis="axisCol" showAll="0">
      <items count="5">
        <item x="3"/>
        <item x="2"/>
        <item x="1"/>
        <item x="0"/>
        <item t="default"/>
      </items>
    </pivotField>
    <pivotField dataField="1" numFmtId="44" showAll="0"/>
    <pivotField numFmtId="14" showAll="0"/>
    <pivotField axis="axisRow" showAll="0">
      <items count="8">
        <item x="4"/>
        <item x="2"/>
        <item x="6"/>
        <item x="3"/>
        <item x="5"/>
        <item x="1"/>
        <item x="0"/>
        <item t="default"/>
      </items>
    </pivotField>
    <pivotField numFmtId="14" showAll="0"/>
    <pivotField showAll="0"/>
  </pivotFields>
  <rowFields count="1">
    <field x="5"/>
  </rowFields>
  <rowItems count="8">
    <i>
      <x/>
    </i>
    <i>
      <x v="1"/>
    </i>
    <i>
      <x v="2"/>
    </i>
    <i>
      <x v="3"/>
    </i>
    <i>
      <x v="4"/>
    </i>
    <i>
      <x v="5"/>
    </i>
    <i>
      <x v="6"/>
    </i>
    <i t="grand">
      <x/>
    </i>
  </rowItems>
  <colFields count="1">
    <field x="2"/>
  </colFields>
  <colItems count="5">
    <i>
      <x/>
    </i>
    <i>
      <x v="1"/>
    </i>
    <i>
      <x v="2"/>
    </i>
    <i>
      <x v="3"/>
    </i>
    <i t="grand">
      <x/>
    </i>
  </colItems>
  <dataFields count="1">
    <dataField name="Sum of Amount"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B8E3A6-CCD6-4594-B4FA-2B6B7767E46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9" firstHeaderRow="1" firstDataRow="2" firstDataCol="1"/>
  <pivotFields count="8">
    <pivotField showAll="0"/>
    <pivotField showAll="0"/>
    <pivotField axis="axisRow" showAll="0">
      <items count="5">
        <item x="3"/>
        <item x="2"/>
        <item x="1"/>
        <item x="0"/>
        <item t="default"/>
      </items>
    </pivotField>
    <pivotField dataField="1" numFmtId="44" showAll="0"/>
    <pivotField numFmtId="14" showAll="0"/>
    <pivotField axis="axisCol" showAll="0">
      <items count="8">
        <item x="4"/>
        <item x="2"/>
        <item x="6"/>
        <item x="3"/>
        <item x="5"/>
        <item x="1"/>
        <item x="0"/>
        <item t="default"/>
      </items>
    </pivotField>
    <pivotField numFmtId="14" showAll="0"/>
    <pivotField showAll="0"/>
  </pivotFields>
  <rowFields count="1">
    <field x="2"/>
  </rowFields>
  <rowItems count="5">
    <i>
      <x/>
    </i>
    <i>
      <x v="1"/>
    </i>
    <i>
      <x v="2"/>
    </i>
    <i>
      <x v="3"/>
    </i>
    <i t="grand">
      <x/>
    </i>
  </rowItems>
  <colFields count="1">
    <field x="5"/>
  </colFields>
  <colItems count="8">
    <i>
      <x/>
    </i>
    <i>
      <x v="1"/>
    </i>
    <i>
      <x v="2"/>
    </i>
    <i>
      <x v="3"/>
    </i>
    <i>
      <x v="4"/>
    </i>
    <i>
      <x v="5"/>
    </i>
    <i>
      <x v="6"/>
    </i>
    <i t="grand">
      <x/>
    </i>
  </colItems>
  <dataFields count="1">
    <dataField name="Sum of Amount" fld="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C79AF4-2E8B-4AD7-9979-A7404609D4F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3" firstHeaderRow="0" firstDataRow="1" firstDataCol="1"/>
  <pivotFields count="7">
    <pivotField showAll="0"/>
    <pivotField axis="axisRow" showAll="0">
      <items count="30">
        <item x="3"/>
        <item x="10"/>
        <item x="12"/>
        <item x="25"/>
        <item x="17"/>
        <item x="28"/>
        <item x="5"/>
        <item x="14"/>
        <item x="9"/>
        <item x="7"/>
        <item x="21"/>
        <item x="6"/>
        <item x="19"/>
        <item x="4"/>
        <item x="1"/>
        <item x="0"/>
        <item x="8"/>
        <item x="27"/>
        <item x="20"/>
        <item x="16"/>
        <item x="26"/>
        <item x="24"/>
        <item x="18"/>
        <item x="11"/>
        <item x="13"/>
        <item x="2"/>
        <item x="22"/>
        <item x="15"/>
        <item x="23"/>
        <item t="default"/>
      </items>
    </pivotField>
    <pivotField dataField="1" numFmtId="44" showAll="0"/>
    <pivotField dataField="1" showAll="0"/>
    <pivotField numFmtId="9" showAll="0"/>
    <pivotField showAll="0">
      <items count="18">
        <item x="1"/>
        <item x="3"/>
        <item x="12"/>
        <item x="4"/>
        <item x="14"/>
        <item x="11"/>
        <item x="0"/>
        <item x="7"/>
        <item x="6"/>
        <item x="10"/>
        <item x="15"/>
        <item x="8"/>
        <item x="2"/>
        <item x="5"/>
        <item x="9"/>
        <item x="13"/>
        <item x="16"/>
        <item t="default"/>
      </items>
    </pivotField>
    <pivotField numFmtId="9" showAll="0"/>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dataFields count="2">
    <dataField name="Sum of Product Price" fld="2" baseField="0" baseItem="0" numFmtId="44"/>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DC0B388-E6A3-46DB-A069-B4ED6D91D2E8}" sourceName="Country">
  <pivotTables>
    <pivotTable tabId="8" name="PivotTable1"/>
  </pivotTables>
  <data>
    <tabular pivotCacheId="1467062721">
      <items count="7">
        <i x="4" s="1"/>
        <i x="2" s="1"/>
        <i x="6" s="1"/>
        <i x="3"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62AAA6F-158B-4E2E-837B-6EDC3289E647}"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C1F756-C418-49A8-932F-7525136A493C}">
  <we:reference id="WA200006009" version="2.0.1.10" store="Omex" storeType="OMEX"/>
  <we:alternateReferences>
    <we:reference id="WA200006009" version="2.0.1.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1FB60-55C5-4F91-9CEB-BD5D2559D585}">
  <dimension ref="A3:Q26"/>
  <sheetViews>
    <sheetView workbookViewId="0">
      <selection activeCell="B4" sqref="B4:E4 B6:E13 J6:J13"/>
    </sheetView>
  </sheetViews>
  <sheetFormatPr defaultRowHeight="15" x14ac:dyDescent="0.25"/>
  <cols>
    <col min="1" max="1" width="13.140625" bestFit="1" customWidth="1"/>
    <col min="2" max="2" width="16.28515625" bestFit="1" customWidth="1"/>
    <col min="3" max="5" width="12.5703125" bestFit="1" customWidth="1"/>
    <col min="6" max="6" width="15.140625" customWidth="1"/>
    <col min="7" max="7" width="16.28515625" customWidth="1"/>
    <col min="8" max="8" width="17.7109375" customWidth="1"/>
    <col min="9" max="9" width="11" bestFit="1" customWidth="1"/>
    <col min="10" max="10" width="19.85546875" bestFit="1" customWidth="1"/>
    <col min="11" max="11" width="16" bestFit="1" customWidth="1"/>
    <col min="13" max="13" width="12.5703125" bestFit="1" customWidth="1"/>
    <col min="14" max="14" width="15.5703125" bestFit="1" customWidth="1"/>
    <col min="15" max="15" width="13.140625" bestFit="1" customWidth="1"/>
    <col min="16" max="16" width="19.85546875" bestFit="1" customWidth="1"/>
    <col min="17" max="17" width="16" bestFit="1" customWidth="1"/>
  </cols>
  <sheetData>
    <row r="3" spans="1:11" x14ac:dyDescent="0.25">
      <c r="B3" s="8" t="s">
        <v>33</v>
      </c>
    </row>
    <row r="4" spans="1:11" x14ac:dyDescent="0.25">
      <c r="B4" t="s">
        <v>32</v>
      </c>
      <c r="F4" t="s">
        <v>34</v>
      </c>
      <c r="J4" t="s">
        <v>35</v>
      </c>
      <c r="K4" t="s">
        <v>36</v>
      </c>
    </row>
    <row r="5" spans="1:11" x14ac:dyDescent="0.25">
      <c r="A5" s="8" t="s">
        <v>30</v>
      </c>
      <c r="B5" t="s">
        <v>25</v>
      </c>
      <c r="C5" t="s">
        <v>16</v>
      </c>
      <c r="D5" t="s">
        <v>14</v>
      </c>
      <c r="E5" t="s">
        <v>9</v>
      </c>
      <c r="F5" t="s">
        <v>25</v>
      </c>
      <c r="G5" t="s">
        <v>16</v>
      </c>
      <c r="H5" t="s">
        <v>14</v>
      </c>
      <c r="I5" t="s">
        <v>9</v>
      </c>
    </row>
    <row r="6" spans="1:11" x14ac:dyDescent="0.25">
      <c r="A6" s="9" t="s">
        <v>17</v>
      </c>
      <c r="B6" s="5">
        <v>14372</v>
      </c>
      <c r="C6" s="5">
        <v>27389</v>
      </c>
      <c r="D6" s="5">
        <v>37807</v>
      </c>
      <c r="E6" s="5">
        <v>14469</v>
      </c>
      <c r="F6">
        <v>1437.2</v>
      </c>
      <c r="G6">
        <v>2362.1999999999998</v>
      </c>
      <c r="H6">
        <v>2481.5</v>
      </c>
      <c r="I6">
        <v>733.30000000000007</v>
      </c>
      <c r="J6" s="5">
        <v>94037</v>
      </c>
      <c r="K6">
        <v>7014.2</v>
      </c>
    </row>
    <row r="7" spans="1:11" x14ac:dyDescent="0.25">
      <c r="A7" s="9" t="s">
        <v>24</v>
      </c>
      <c r="B7" s="5">
        <v>82661</v>
      </c>
      <c r="C7" s="5">
        <v>93289</v>
      </c>
      <c r="D7" s="5">
        <v>85327</v>
      </c>
      <c r="E7" s="5">
        <v>135993</v>
      </c>
      <c r="F7">
        <v>7060.9000000000005</v>
      </c>
      <c r="G7">
        <v>7639.8000000000011</v>
      </c>
      <c r="H7">
        <v>8183.4000000000005</v>
      </c>
      <c r="I7">
        <v>12880.9</v>
      </c>
      <c r="J7" s="5">
        <v>397270</v>
      </c>
      <c r="K7">
        <v>35765</v>
      </c>
    </row>
    <row r="8" spans="1:11" x14ac:dyDescent="0.25">
      <c r="A8" s="9" t="s">
        <v>19</v>
      </c>
      <c r="B8" s="5">
        <v>101936</v>
      </c>
      <c r="C8" s="5">
        <v>24968</v>
      </c>
      <c r="D8" s="5">
        <v>107865</v>
      </c>
      <c r="E8" s="5">
        <v>81927</v>
      </c>
      <c r="F8">
        <v>8416.2999999999993</v>
      </c>
      <c r="G8">
        <v>2082.9</v>
      </c>
      <c r="H8">
        <v>10248.350000000002</v>
      </c>
      <c r="I8">
        <v>6156.9</v>
      </c>
      <c r="J8" s="5">
        <v>316696</v>
      </c>
      <c r="K8">
        <v>26904.450000000004</v>
      </c>
    </row>
    <row r="9" spans="1:11" x14ac:dyDescent="0.25">
      <c r="A9" s="9" t="s">
        <v>31</v>
      </c>
      <c r="B9" s="5">
        <v>198969</v>
      </c>
      <c r="C9" s="5">
        <v>145646</v>
      </c>
      <c r="D9" s="5">
        <v>230999</v>
      </c>
      <c r="E9" s="5">
        <v>232389</v>
      </c>
      <c r="F9">
        <v>16914.400000000001</v>
      </c>
      <c r="G9">
        <v>12084.9</v>
      </c>
      <c r="H9">
        <v>20913.250000000004</v>
      </c>
      <c r="I9">
        <v>19771.099999999999</v>
      </c>
      <c r="J9" s="5">
        <v>808003</v>
      </c>
      <c r="K9">
        <v>69683.649999999994</v>
      </c>
    </row>
    <row r="19" spans="1:17" x14ac:dyDescent="0.25">
      <c r="B19" s="8" t="s">
        <v>33</v>
      </c>
    </row>
    <row r="20" spans="1:17" x14ac:dyDescent="0.25">
      <c r="B20" t="s">
        <v>32</v>
      </c>
      <c r="I20" t="s">
        <v>34</v>
      </c>
      <c r="P20" t="s">
        <v>35</v>
      </c>
      <c r="Q20" t="s">
        <v>36</v>
      </c>
    </row>
    <row r="21" spans="1:17" x14ac:dyDescent="0.25">
      <c r="A21" s="8" t="s">
        <v>30</v>
      </c>
      <c r="B21" t="s">
        <v>21</v>
      </c>
      <c r="C21" t="s">
        <v>17</v>
      </c>
      <c r="D21" t="s">
        <v>24</v>
      </c>
      <c r="E21" t="s">
        <v>19</v>
      </c>
      <c r="F21" t="s">
        <v>22</v>
      </c>
      <c r="G21" t="s">
        <v>12</v>
      </c>
      <c r="H21" t="s">
        <v>10</v>
      </c>
      <c r="I21" t="s">
        <v>21</v>
      </c>
      <c r="J21" t="s">
        <v>17</v>
      </c>
      <c r="K21" t="s">
        <v>24</v>
      </c>
      <c r="L21" t="s">
        <v>19</v>
      </c>
      <c r="M21" t="s">
        <v>22</v>
      </c>
      <c r="N21" t="s">
        <v>12</v>
      </c>
      <c r="O21" t="s">
        <v>10</v>
      </c>
    </row>
    <row r="22" spans="1:17" x14ac:dyDescent="0.25">
      <c r="A22" s="9" t="s">
        <v>25</v>
      </c>
      <c r="B22" s="5">
        <v>5015</v>
      </c>
      <c r="C22" s="5">
        <v>14372</v>
      </c>
      <c r="D22" s="5">
        <v>82661</v>
      </c>
      <c r="E22" s="5">
        <v>101936</v>
      </c>
      <c r="F22" s="5">
        <v>72179</v>
      </c>
      <c r="G22" s="5">
        <v>12917</v>
      </c>
      <c r="H22" s="5">
        <v>66020</v>
      </c>
      <c r="I22">
        <v>501.5</v>
      </c>
      <c r="J22">
        <v>1437.2</v>
      </c>
      <c r="K22">
        <v>7060.9</v>
      </c>
      <c r="L22">
        <v>8416.3000000000011</v>
      </c>
      <c r="M22">
        <v>5992</v>
      </c>
      <c r="N22">
        <v>1269.7</v>
      </c>
      <c r="O22">
        <v>4426.7000000000007</v>
      </c>
      <c r="P22" s="5">
        <v>355100</v>
      </c>
      <c r="Q22">
        <v>29104.300000000003</v>
      </c>
    </row>
    <row r="23" spans="1:17" x14ac:dyDescent="0.25">
      <c r="A23" s="9" t="s">
        <v>16</v>
      </c>
      <c r="B23" s="5">
        <v>84139</v>
      </c>
      <c r="C23" s="5">
        <v>27389</v>
      </c>
      <c r="D23" s="5">
        <v>93289</v>
      </c>
      <c r="E23" s="5">
        <v>24968</v>
      </c>
      <c r="F23" s="5">
        <v>62339</v>
      </c>
      <c r="G23" s="5">
        <v>22147</v>
      </c>
      <c r="H23" s="5">
        <v>48990</v>
      </c>
      <c r="I23">
        <v>7701.3000000000011</v>
      </c>
      <c r="J23">
        <v>2362.1999999999998</v>
      </c>
      <c r="K23">
        <v>7639.8</v>
      </c>
      <c r="L23">
        <v>2082.9</v>
      </c>
      <c r="M23">
        <v>5557.1</v>
      </c>
      <c r="N23">
        <v>911.6</v>
      </c>
      <c r="O23">
        <v>3831.2000000000003</v>
      </c>
      <c r="P23" s="5">
        <v>363261</v>
      </c>
      <c r="Q23">
        <v>30086.100000000002</v>
      </c>
    </row>
    <row r="24" spans="1:17" x14ac:dyDescent="0.25">
      <c r="A24" s="9" t="s">
        <v>14</v>
      </c>
      <c r="B24" s="5">
        <v>172644</v>
      </c>
      <c r="C24" s="5">
        <v>37807</v>
      </c>
      <c r="D24" s="5">
        <v>85327</v>
      </c>
      <c r="E24" s="5">
        <v>107865</v>
      </c>
      <c r="F24" s="5">
        <v>21165</v>
      </c>
      <c r="G24" s="5">
        <v>61898</v>
      </c>
      <c r="H24" s="5">
        <v>246020</v>
      </c>
      <c r="I24">
        <v>15615.499999999998</v>
      </c>
      <c r="J24">
        <v>2481.5</v>
      </c>
      <c r="K24">
        <v>8183.4000000000005</v>
      </c>
      <c r="L24">
        <v>10248.35</v>
      </c>
      <c r="M24">
        <v>2011.1000000000001</v>
      </c>
      <c r="N24">
        <v>5664.2000000000007</v>
      </c>
      <c r="O24">
        <v>21880.7</v>
      </c>
      <c r="P24" s="5">
        <v>732726</v>
      </c>
      <c r="Q24">
        <v>66084.75</v>
      </c>
    </row>
    <row r="25" spans="1:17" x14ac:dyDescent="0.25">
      <c r="A25" s="9" t="s">
        <v>9</v>
      </c>
      <c r="B25" s="5">
        <v>152844</v>
      </c>
      <c r="C25" s="5">
        <v>14469</v>
      </c>
      <c r="D25" s="5">
        <v>135993</v>
      </c>
      <c r="E25" s="5">
        <v>81927</v>
      </c>
      <c r="F25" s="5">
        <v>60720</v>
      </c>
      <c r="G25" s="5">
        <v>79675</v>
      </c>
      <c r="H25" s="5">
        <v>202780</v>
      </c>
      <c r="I25">
        <v>13780.5</v>
      </c>
      <c r="J25">
        <v>733.30000000000007</v>
      </c>
      <c r="K25">
        <v>12880.900000000001</v>
      </c>
      <c r="L25">
        <v>6156.9000000000005</v>
      </c>
      <c r="M25">
        <v>4712.6000000000004</v>
      </c>
      <c r="N25">
        <v>6401.4000000000015</v>
      </c>
      <c r="O25">
        <v>16941.650000000001</v>
      </c>
      <c r="P25" s="5">
        <v>728408</v>
      </c>
      <c r="Q25">
        <v>61607.25</v>
      </c>
    </row>
    <row r="26" spans="1:17" x14ac:dyDescent="0.25">
      <c r="A26" s="9" t="s">
        <v>31</v>
      </c>
      <c r="B26" s="5">
        <v>414642</v>
      </c>
      <c r="C26" s="5">
        <v>94037</v>
      </c>
      <c r="D26" s="5">
        <v>397270</v>
      </c>
      <c r="E26" s="5">
        <v>316696</v>
      </c>
      <c r="F26" s="5">
        <v>216403</v>
      </c>
      <c r="G26" s="5">
        <v>176637</v>
      </c>
      <c r="H26" s="5">
        <v>563810</v>
      </c>
      <c r="I26">
        <v>37598.800000000003</v>
      </c>
      <c r="J26">
        <v>7014.2</v>
      </c>
      <c r="K26">
        <v>35765</v>
      </c>
      <c r="L26">
        <v>26904.450000000004</v>
      </c>
      <c r="M26">
        <v>18272.800000000003</v>
      </c>
      <c r="N26">
        <v>14246.900000000001</v>
      </c>
      <c r="O26">
        <v>47080.25</v>
      </c>
      <c r="P26" s="5">
        <v>2179495</v>
      </c>
      <c r="Q26">
        <v>186882.40000000002</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AC588-6DB6-4C2F-B9AF-FEF12312B0BA}">
  <dimension ref="A3:J32"/>
  <sheetViews>
    <sheetView tabSelected="1" workbookViewId="0">
      <selection activeCell="E20" sqref="E20"/>
    </sheetView>
  </sheetViews>
  <sheetFormatPr defaultRowHeight="15" x14ac:dyDescent="0.25"/>
  <cols>
    <col min="1" max="1" width="15.42578125" style="49" bestFit="1" customWidth="1"/>
    <col min="2" max="2" width="16.28515625" style="49" bestFit="1" customWidth="1"/>
    <col min="3" max="5" width="12.5703125" style="49" bestFit="1" customWidth="1"/>
    <col min="6" max="6" width="14.28515625" style="49" bestFit="1" customWidth="1"/>
    <col min="7" max="7" width="15.5703125" style="49" bestFit="1" customWidth="1"/>
    <col min="8" max="8" width="13.140625" style="49" bestFit="1" customWidth="1"/>
    <col min="9" max="9" width="15.42578125" style="49" bestFit="1" customWidth="1"/>
    <col min="10" max="10" width="18.42578125" style="49" bestFit="1" customWidth="1"/>
    <col min="11" max="16384" width="9.140625" style="49"/>
  </cols>
  <sheetData>
    <row r="3" spans="1:10" x14ac:dyDescent="0.25">
      <c r="A3" s="49" t="s">
        <v>32</v>
      </c>
      <c r="B3" s="49" t="s">
        <v>33</v>
      </c>
      <c r="I3" s="49" t="s">
        <v>30</v>
      </c>
      <c r="J3" s="49" t="s">
        <v>171</v>
      </c>
    </row>
    <row r="4" spans="1:10" x14ac:dyDescent="0.25">
      <c r="A4" s="49" t="s">
        <v>30</v>
      </c>
      <c r="B4" s="49" t="s">
        <v>25</v>
      </c>
      <c r="C4" s="49" t="s">
        <v>16</v>
      </c>
      <c r="D4" s="49" t="s">
        <v>14</v>
      </c>
      <c r="E4" s="49" t="s">
        <v>9</v>
      </c>
      <c r="F4" s="49" t="s">
        <v>31</v>
      </c>
      <c r="I4" s="50" t="s">
        <v>21</v>
      </c>
      <c r="J4" s="51">
        <v>8130.2352941176468</v>
      </c>
    </row>
    <row r="5" spans="1:10" x14ac:dyDescent="0.25">
      <c r="A5" s="50" t="s">
        <v>21</v>
      </c>
      <c r="B5" s="51">
        <v>5015</v>
      </c>
      <c r="C5" s="51">
        <v>84139</v>
      </c>
      <c r="D5" s="51">
        <v>172644</v>
      </c>
      <c r="E5" s="51">
        <v>152844</v>
      </c>
      <c r="F5" s="51">
        <v>414642</v>
      </c>
      <c r="I5" s="50" t="s">
        <v>19</v>
      </c>
      <c r="J5" s="51">
        <v>6463.1836734693879</v>
      </c>
    </row>
    <row r="6" spans="1:10" x14ac:dyDescent="0.25">
      <c r="A6" s="50" t="s">
        <v>17</v>
      </c>
      <c r="B6" s="51">
        <v>14372</v>
      </c>
      <c r="C6" s="51">
        <v>27389</v>
      </c>
      <c r="D6" s="51">
        <v>37807</v>
      </c>
      <c r="E6" s="51">
        <v>14469</v>
      </c>
      <c r="F6" s="51">
        <v>94037</v>
      </c>
      <c r="I6" s="50" t="s">
        <v>22</v>
      </c>
      <c r="J6" s="51">
        <v>8014.9259259259261</v>
      </c>
    </row>
    <row r="7" spans="1:10" x14ac:dyDescent="0.25">
      <c r="A7" s="50" t="s">
        <v>24</v>
      </c>
      <c r="B7" s="51">
        <v>82661</v>
      </c>
      <c r="C7" s="51">
        <v>93289</v>
      </c>
      <c r="D7" s="51">
        <v>85327</v>
      </c>
      <c r="E7" s="51">
        <v>135993</v>
      </c>
      <c r="F7" s="51">
        <v>397270</v>
      </c>
      <c r="I7" s="50" t="s">
        <v>12</v>
      </c>
      <c r="J7" s="51">
        <v>5519.90625</v>
      </c>
    </row>
    <row r="8" spans="1:10" x14ac:dyDescent="0.25">
      <c r="A8" s="50" t="s">
        <v>19</v>
      </c>
      <c r="B8" s="51">
        <v>101936</v>
      </c>
      <c r="C8" s="51">
        <v>24968</v>
      </c>
      <c r="D8" s="51">
        <v>107865</v>
      </c>
      <c r="E8" s="51">
        <v>81927</v>
      </c>
      <c r="F8" s="51">
        <v>316696</v>
      </c>
      <c r="I8" s="50" t="s">
        <v>10</v>
      </c>
      <c r="J8" s="51">
        <v>6792.8915662650606</v>
      </c>
    </row>
    <row r="9" spans="1:10" x14ac:dyDescent="0.25">
      <c r="A9" s="50" t="s">
        <v>22</v>
      </c>
      <c r="B9" s="51">
        <v>72179</v>
      </c>
      <c r="C9" s="51">
        <v>62339</v>
      </c>
      <c r="D9" s="51">
        <v>21165</v>
      </c>
      <c r="E9" s="51">
        <v>60720</v>
      </c>
      <c r="F9" s="51">
        <v>216403</v>
      </c>
      <c r="I9" s="50" t="s">
        <v>31</v>
      </c>
      <c r="J9" s="51">
        <v>6975.9834710743798</v>
      </c>
    </row>
    <row r="10" spans="1:10" x14ac:dyDescent="0.25">
      <c r="A10" s="50" t="s">
        <v>12</v>
      </c>
      <c r="B10" s="51">
        <v>12917</v>
      </c>
      <c r="C10" s="51">
        <v>22147</v>
      </c>
      <c r="D10" s="51">
        <v>61898</v>
      </c>
      <c r="E10" s="51">
        <v>79675</v>
      </c>
      <c r="F10" s="51">
        <v>176637</v>
      </c>
    </row>
    <row r="11" spans="1:10" x14ac:dyDescent="0.25">
      <c r="A11" s="50" t="s">
        <v>10</v>
      </c>
      <c r="B11" s="51">
        <v>66020</v>
      </c>
      <c r="C11" s="51">
        <v>48990</v>
      </c>
      <c r="D11" s="51">
        <v>246020</v>
      </c>
      <c r="E11" s="51">
        <v>202780</v>
      </c>
      <c r="F11" s="51">
        <v>563810</v>
      </c>
    </row>
    <row r="12" spans="1:10" x14ac:dyDescent="0.25">
      <c r="A12" s="50" t="s">
        <v>31</v>
      </c>
      <c r="B12" s="51">
        <v>355100</v>
      </c>
      <c r="C12" s="51">
        <v>363261</v>
      </c>
      <c r="D12" s="51">
        <v>732726</v>
      </c>
      <c r="E12" s="51">
        <v>728408</v>
      </c>
      <c r="F12" s="51">
        <v>2179495</v>
      </c>
    </row>
    <row r="16" spans="1:10" x14ac:dyDescent="0.25">
      <c r="A16" s="49" t="s">
        <v>32</v>
      </c>
      <c r="B16" s="49" t="s">
        <v>33</v>
      </c>
    </row>
    <row r="17" spans="1:9" x14ac:dyDescent="0.25">
      <c r="A17" s="49" t="s">
        <v>30</v>
      </c>
      <c r="B17" s="49" t="s">
        <v>21</v>
      </c>
      <c r="C17" s="49" t="s">
        <v>17</v>
      </c>
      <c r="D17" s="49" t="s">
        <v>24</v>
      </c>
      <c r="E17" s="49" t="s">
        <v>19</v>
      </c>
      <c r="F17" s="49" t="s">
        <v>22</v>
      </c>
      <c r="G17" s="49" t="s">
        <v>12</v>
      </c>
      <c r="H17" s="49" t="s">
        <v>10</v>
      </c>
      <c r="I17" s="49" t="s">
        <v>31</v>
      </c>
    </row>
    <row r="18" spans="1:9" x14ac:dyDescent="0.25">
      <c r="A18" s="50" t="s">
        <v>25</v>
      </c>
      <c r="B18" s="51">
        <v>5015</v>
      </c>
      <c r="C18" s="51">
        <v>14372</v>
      </c>
      <c r="D18" s="51">
        <v>82661</v>
      </c>
      <c r="E18" s="51">
        <v>101936</v>
      </c>
      <c r="F18" s="51">
        <v>72179</v>
      </c>
      <c r="G18" s="51">
        <v>12917</v>
      </c>
      <c r="H18" s="51">
        <v>66020</v>
      </c>
      <c r="I18" s="51">
        <v>355100</v>
      </c>
    </row>
    <row r="19" spans="1:9" x14ac:dyDescent="0.25">
      <c r="A19" s="50" t="s">
        <v>16</v>
      </c>
      <c r="B19" s="51">
        <v>84139</v>
      </c>
      <c r="C19" s="51">
        <v>27389</v>
      </c>
      <c r="D19" s="51">
        <v>93289</v>
      </c>
      <c r="E19" s="51">
        <v>24968</v>
      </c>
      <c r="F19" s="51">
        <v>62339</v>
      </c>
      <c r="G19" s="51">
        <v>22147</v>
      </c>
      <c r="H19" s="51">
        <v>48990</v>
      </c>
      <c r="I19" s="51">
        <v>363261</v>
      </c>
    </row>
    <row r="20" spans="1:9" x14ac:dyDescent="0.25">
      <c r="A20" s="50" t="s">
        <v>14</v>
      </c>
      <c r="B20" s="51">
        <v>172644</v>
      </c>
      <c r="C20" s="51">
        <v>37807</v>
      </c>
      <c r="D20" s="51">
        <v>85327</v>
      </c>
      <c r="E20" s="51">
        <v>107865</v>
      </c>
      <c r="F20" s="51">
        <v>21165</v>
      </c>
      <c r="G20" s="51">
        <v>61898</v>
      </c>
      <c r="H20" s="51">
        <v>246020</v>
      </c>
      <c r="I20" s="51">
        <v>732726</v>
      </c>
    </row>
    <row r="21" spans="1:9" x14ac:dyDescent="0.25">
      <c r="A21" s="50" t="s">
        <v>9</v>
      </c>
      <c r="B21" s="51">
        <v>152844</v>
      </c>
      <c r="C21" s="51">
        <v>14469</v>
      </c>
      <c r="D21" s="51">
        <v>135993</v>
      </c>
      <c r="E21" s="51">
        <v>81927</v>
      </c>
      <c r="F21" s="51">
        <v>60720</v>
      </c>
      <c r="G21" s="51">
        <v>79675</v>
      </c>
      <c r="H21" s="51">
        <v>202780</v>
      </c>
      <c r="I21" s="51">
        <v>728408</v>
      </c>
    </row>
    <row r="22" spans="1:9" x14ac:dyDescent="0.25">
      <c r="A22" s="50" t="s">
        <v>31</v>
      </c>
      <c r="B22" s="51">
        <v>414642</v>
      </c>
      <c r="C22" s="51">
        <v>94037</v>
      </c>
      <c r="D22" s="51">
        <v>397270</v>
      </c>
      <c r="E22" s="51">
        <v>316696</v>
      </c>
      <c r="F22" s="51">
        <v>216403</v>
      </c>
      <c r="G22" s="51">
        <v>176637</v>
      </c>
      <c r="H22" s="51">
        <v>563810</v>
      </c>
      <c r="I22" s="51">
        <v>2179495</v>
      </c>
    </row>
    <row r="25" spans="1:9" x14ac:dyDescent="0.25">
      <c r="A25" s="49" t="s">
        <v>30</v>
      </c>
      <c r="B25" s="49" t="s">
        <v>172</v>
      </c>
    </row>
    <row r="26" spans="1:9" x14ac:dyDescent="0.25">
      <c r="A26" s="50" t="s">
        <v>21</v>
      </c>
      <c r="B26" s="51">
        <v>19685</v>
      </c>
    </row>
    <row r="27" spans="1:9" x14ac:dyDescent="0.25">
      <c r="A27" s="50" t="s">
        <v>19</v>
      </c>
      <c r="B27" s="51">
        <v>20037</v>
      </c>
    </row>
    <row r="28" spans="1:9" x14ac:dyDescent="0.25">
      <c r="A28" s="50" t="s">
        <v>22</v>
      </c>
      <c r="B28" s="51">
        <v>19861</v>
      </c>
    </row>
    <row r="29" spans="1:9" x14ac:dyDescent="0.25">
      <c r="A29" s="50" t="s">
        <v>12</v>
      </c>
      <c r="B29" s="51">
        <v>9405</v>
      </c>
    </row>
    <row r="30" spans="1:9" x14ac:dyDescent="0.25">
      <c r="A30" s="50" t="s">
        <v>10</v>
      </c>
      <c r="B30" s="51">
        <v>20213</v>
      </c>
    </row>
    <row r="31" spans="1:9" x14ac:dyDescent="0.25">
      <c r="A31" s="50" t="s">
        <v>31</v>
      </c>
      <c r="B31" s="51">
        <v>20213</v>
      </c>
    </row>
    <row r="32" spans="1:9" x14ac:dyDescent="0.25">
      <c r="A32"/>
      <c r="B32"/>
      <c r="C32"/>
      <c r="D32"/>
      <c r="E32"/>
      <c r="F32"/>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7ED2-F75C-457D-BA3A-92C163E78A90}">
  <dimension ref="A3:I27"/>
  <sheetViews>
    <sheetView workbookViewId="0">
      <selection activeCell="G3" sqref="G3"/>
    </sheetView>
  </sheetViews>
  <sheetFormatPr defaultRowHeight="15" x14ac:dyDescent="0.25"/>
  <cols>
    <col min="1" max="1" width="15.42578125" bestFit="1" customWidth="1"/>
    <col min="2" max="2" width="16.28515625" bestFit="1" customWidth="1"/>
    <col min="3" max="5" width="12.5703125" bestFit="1" customWidth="1"/>
    <col min="6" max="6" width="14.28515625" bestFit="1" customWidth="1"/>
    <col min="7" max="7" width="15.5703125" bestFit="1" customWidth="1"/>
    <col min="8" max="8" width="13.140625" bestFit="1" customWidth="1"/>
    <col min="9" max="9" width="14.28515625" bestFit="1" customWidth="1"/>
  </cols>
  <sheetData>
    <row r="3" spans="1:9" x14ac:dyDescent="0.25">
      <c r="A3" s="8" t="s">
        <v>32</v>
      </c>
      <c r="B3" s="8" t="s">
        <v>33</v>
      </c>
    </row>
    <row r="4" spans="1:9" x14ac:dyDescent="0.25">
      <c r="A4" s="8" t="s">
        <v>30</v>
      </c>
      <c r="B4" t="s">
        <v>21</v>
      </c>
      <c r="C4" t="s">
        <v>17</v>
      </c>
      <c r="D4" t="s">
        <v>24</v>
      </c>
      <c r="E4" t="s">
        <v>19</v>
      </c>
      <c r="F4" t="s">
        <v>22</v>
      </c>
      <c r="G4" t="s">
        <v>12</v>
      </c>
      <c r="H4" t="s">
        <v>10</v>
      </c>
      <c r="I4" t="s">
        <v>31</v>
      </c>
    </row>
    <row r="5" spans="1:9" x14ac:dyDescent="0.25">
      <c r="A5" s="9" t="s">
        <v>25</v>
      </c>
      <c r="B5" s="5">
        <v>5015</v>
      </c>
      <c r="C5" s="5">
        <v>14372</v>
      </c>
      <c r="D5" s="5">
        <v>82661</v>
      </c>
      <c r="E5" s="5">
        <v>101936</v>
      </c>
      <c r="F5" s="5">
        <v>72179</v>
      </c>
      <c r="G5" s="5">
        <v>12917</v>
      </c>
      <c r="H5" s="5">
        <v>66020</v>
      </c>
      <c r="I5" s="5">
        <v>355100</v>
      </c>
    </row>
    <row r="6" spans="1:9" x14ac:dyDescent="0.25">
      <c r="A6" s="9" t="s">
        <v>16</v>
      </c>
      <c r="B6" s="5">
        <v>84139</v>
      </c>
      <c r="C6" s="5">
        <v>27389</v>
      </c>
      <c r="D6" s="5">
        <v>93289</v>
      </c>
      <c r="E6" s="5">
        <v>24968</v>
      </c>
      <c r="F6" s="5">
        <v>62339</v>
      </c>
      <c r="G6" s="5">
        <v>22147</v>
      </c>
      <c r="H6" s="5">
        <v>48990</v>
      </c>
      <c r="I6" s="5">
        <v>363261</v>
      </c>
    </row>
    <row r="7" spans="1:9" x14ac:dyDescent="0.25">
      <c r="A7" s="9" t="s">
        <v>14</v>
      </c>
      <c r="B7" s="5">
        <v>172644</v>
      </c>
      <c r="C7" s="5">
        <v>37807</v>
      </c>
      <c r="D7" s="5">
        <v>85327</v>
      </c>
      <c r="E7" s="5">
        <v>107865</v>
      </c>
      <c r="F7" s="5">
        <v>21165</v>
      </c>
      <c r="G7" s="5">
        <v>61898</v>
      </c>
      <c r="H7" s="5">
        <v>246020</v>
      </c>
      <c r="I7" s="5">
        <v>732726</v>
      </c>
    </row>
    <row r="8" spans="1:9" x14ac:dyDescent="0.25">
      <c r="A8" s="9" t="s">
        <v>9</v>
      </c>
      <c r="B8" s="5">
        <v>152844</v>
      </c>
      <c r="C8" s="5">
        <v>14469</v>
      </c>
      <c r="D8" s="5">
        <v>135993</v>
      </c>
      <c r="E8" s="5">
        <v>81927</v>
      </c>
      <c r="F8" s="5">
        <v>60720</v>
      </c>
      <c r="G8" s="5">
        <v>79675</v>
      </c>
      <c r="H8" s="5">
        <v>202780</v>
      </c>
      <c r="I8" s="5">
        <v>728408</v>
      </c>
    </row>
    <row r="9" spans="1:9" x14ac:dyDescent="0.25">
      <c r="A9" s="9" t="s">
        <v>31</v>
      </c>
      <c r="B9" s="5">
        <v>414642</v>
      </c>
      <c r="C9" s="5">
        <v>94037</v>
      </c>
      <c r="D9" s="5">
        <v>397270</v>
      </c>
      <c r="E9" s="5">
        <v>316696</v>
      </c>
      <c r="F9" s="5">
        <v>216403</v>
      </c>
      <c r="G9" s="5">
        <v>176637</v>
      </c>
      <c r="H9" s="5">
        <v>563810</v>
      </c>
      <c r="I9" s="5">
        <v>2179495</v>
      </c>
    </row>
    <row r="18" spans="1:6" x14ac:dyDescent="0.25">
      <c r="A18" s="8" t="s">
        <v>32</v>
      </c>
      <c r="B18" s="8" t="s">
        <v>33</v>
      </c>
    </row>
    <row r="19" spans="1:6" x14ac:dyDescent="0.25">
      <c r="A19" s="8" t="s">
        <v>30</v>
      </c>
      <c r="B19" t="s">
        <v>25</v>
      </c>
      <c r="C19" t="s">
        <v>16</v>
      </c>
      <c r="D19" t="s">
        <v>14</v>
      </c>
      <c r="E19" t="s">
        <v>9</v>
      </c>
      <c r="F19" t="s">
        <v>31</v>
      </c>
    </row>
    <row r="20" spans="1:6" x14ac:dyDescent="0.25">
      <c r="A20" s="9" t="s">
        <v>21</v>
      </c>
      <c r="B20" s="5">
        <v>5015</v>
      </c>
      <c r="C20" s="5">
        <v>84139</v>
      </c>
      <c r="D20" s="5">
        <v>172644</v>
      </c>
      <c r="E20" s="5">
        <v>152844</v>
      </c>
      <c r="F20" s="5">
        <v>414642</v>
      </c>
    </row>
    <row r="21" spans="1:6" x14ac:dyDescent="0.25">
      <c r="A21" s="9" t="s">
        <v>17</v>
      </c>
      <c r="B21" s="5">
        <v>14372</v>
      </c>
      <c r="C21" s="5">
        <v>27389</v>
      </c>
      <c r="D21" s="5">
        <v>37807</v>
      </c>
      <c r="E21" s="5">
        <v>14469</v>
      </c>
      <c r="F21" s="5">
        <v>94037</v>
      </c>
    </row>
    <row r="22" spans="1:6" x14ac:dyDescent="0.25">
      <c r="A22" s="9" t="s">
        <v>24</v>
      </c>
      <c r="B22" s="5">
        <v>82661</v>
      </c>
      <c r="C22" s="5">
        <v>93289</v>
      </c>
      <c r="D22" s="5">
        <v>85327</v>
      </c>
      <c r="E22" s="5">
        <v>135993</v>
      </c>
      <c r="F22" s="5">
        <v>397270</v>
      </c>
    </row>
    <row r="23" spans="1:6" x14ac:dyDescent="0.25">
      <c r="A23" s="9" t="s">
        <v>19</v>
      </c>
      <c r="B23" s="5">
        <v>101936</v>
      </c>
      <c r="C23" s="5">
        <v>24968</v>
      </c>
      <c r="D23" s="5">
        <v>107865</v>
      </c>
      <c r="E23" s="5">
        <v>81927</v>
      </c>
      <c r="F23" s="5">
        <v>316696</v>
      </c>
    </row>
    <row r="24" spans="1:6" x14ac:dyDescent="0.25">
      <c r="A24" s="9" t="s">
        <v>22</v>
      </c>
      <c r="B24" s="5">
        <v>72179</v>
      </c>
      <c r="C24" s="5">
        <v>62339</v>
      </c>
      <c r="D24" s="5">
        <v>21165</v>
      </c>
      <c r="E24" s="5">
        <v>60720</v>
      </c>
      <c r="F24" s="5">
        <v>216403</v>
      </c>
    </row>
    <row r="25" spans="1:6" x14ac:dyDescent="0.25">
      <c r="A25" s="9" t="s">
        <v>12</v>
      </c>
      <c r="B25" s="5">
        <v>12917</v>
      </c>
      <c r="C25" s="5">
        <v>22147</v>
      </c>
      <c r="D25" s="5">
        <v>61898</v>
      </c>
      <c r="E25" s="5">
        <v>79675</v>
      </c>
      <c r="F25" s="5">
        <v>176637</v>
      </c>
    </row>
    <row r="26" spans="1:6" x14ac:dyDescent="0.25">
      <c r="A26" s="9" t="s">
        <v>10</v>
      </c>
      <c r="B26" s="5">
        <v>66020</v>
      </c>
      <c r="C26" s="5">
        <v>48990</v>
      </c>
      <c r="D26" s="5">
        <v>246020</v>
      </c>
      <c r="E26" s="5">
        <v>202780</v>
      </c>
      <c r="F26" s="5">
        <v>563810</v>
      </c>
    </row>
    <row r="27" spans="1:6" x14ac:dyDescent="0.25">
      <c r="A27" s="9" t="s">
        <v>31</v>
      </c>
      <c r="B27" s="5">
        <v>355100</v>
      </c>
      <c r="C27" s="5">
        <v>363261</v>
      </c>
      <c r="D27" s="5">
        <v>732726</v>
      </c>
      <c r="E27" s="5">
        <v>728408</v>
      </c>
      <c r="F27" s="5">
        <v>2179495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D5C9-0FB8-4423-89DD-E5A2F647EBCF}">
  <dimension ref="A3:I30"/>
  <sheetViews>
    <sheetView workbookViewId="0">
      <selection activeCell="B21" sqref="B21"/>
    </sheetView>
  </sheetViews>
  <sheetFormatPr defaultRowHeight="15" x14ac:dyDescent="0.25"/>
  <cols>
    <col min="1" max="1" width="14.85546875" bestFit="1" customWidth="1"/>
    <col min="2" max="2" width="15.42578125" bestFit="1" customWidth="1"/>
    <col min="3" max="3" width="16.28515625" bestFit="1" customWidth="1"/>
    <col min="4" max="6" width="12.5703125" bestFit="1" customWidth="1"/>
    <col min="7" max="7" width="14.28515625" bestFit="1" customWidth="1"/>
    <col min="8" max="8" width="13.140625" bestFit="1" customWidth="1"/>
    <col min="9" max="9" width="14.28515625" bestFit="1" customWidth="1"/>
    <col min="10" max="10" width="15" customWidth="1"/>
  </cols>
  <sheetData>
    <row r="3" spans="1:9" x14ac:dyDescent="0.25">
      <c r="A3" s="8" t="s">
        <v>32</v>
      </c>
      <c r="B3" s="8" t="s">
        <v>33</v>
      </c>
    </row>
    <row r="4" spans="1:9" x14ac:dyDescent="0.25">
      <c r="A4" s="8" t="s">
        <v>30</v>
      </c>
      <c r="B4" t="s">
        <v>21</v>
      </c>
      <c r="C4" t="s">
        <v>17</v>
      </c>
      <c r="D4" t="s">
        <v>24</v>
      </c>
      <c r="E4" t="s">
        <v>19</v>
      </c>
      <c r="F4" t="s">
        <v>22</v>
      </c>
      <c r="G4" t="s">
        <v>12</v>
      </c>
      <c r="H4" t="s">
        <v>10</v>
      </c>
      <c r="I4" t="s">
        <v>31</v>
      </c>
    </row>
    <row r="5" spans="1:9" x14ac:dyDescent="0.25">
      <c r="A5" s="9" t="s">
        <v>25</v>
      </c>
      <c r="B5" s="5">
        <v>5015</v>
      </c>
      <c r="C5" s="5">
        <v>14372</v>
      </c>
      <c r="D5" s="5">
        <v>82661</v>
      </c>
      <c r="E5" s="5">
        <v>101936</v>
      </c>
      <c r="F5" s="5">
        <v>72179</v>
      </c>
      <c r="G5" s="5">
        <v>12917</v>
      </c>
      <c r="H5" s="5">
        <v>66020</v>
      </c>
      <c r="I5" s="5">
        <v>355100</v>
      </c>
    </row>
    <row r="6" spans="1:9" x14ac:dyDescent="0.25">
      <c r="A6" s="9" t="s">
        <v>16</v>
      </c>
      <c r="B6" s="5">
        <v>84139</v>
      </c>
      <c r="C6" s="5">
        <v>27389</v>
      </c>
      <c r="D6" s="5">
        <v>93289</v>
      </c>
      <c r="E6" s="5">
        <v>24968</v>
      </c>
      <c r="F6" s="5">
        <v>62339</v>
      </c>
      <c r="G6" s="5">
        <v>22147</v>
      </c>
      <c r="H6" s="5">
        <v>48990</v>
      </c>
      <c r="I6" s="5">
        <v>363261</v>
      </c>
    </row>
    <row r="7" spans="1:9" x14ac:dyDescent="0.25">
      <c r="A7" s="9" t="s">
        <v>14</v>
      </c>
      <c r="B7" s="5">
        <v>172644</v>
      </c>
      <c r="C7" s="5">
        <v>37807</v>
      </c>
      <c r="D7" s="5">
        <v>85327</v>
      </c>
      <c r="E7" s="5">
        <v>107865</v>
      </c>
      <c r="F7" s="5">
        <v>21165</v>
      </c>
      <c r="G7" s="5">
        <v>61898</v>
      </c>
      <c r="H7" s="5">
        <v>246020</v>
      </c>
      <c r="I7" s="5">
        <v>732726</v>
      </c>
    </row>
    <row r="8" spans="1:9" x14ac:dyDescent="0.25">
      <c r="A8" s="9" t="s">
        <v>9</v>
      </c>
      <c r="B8" s="5">
        <v>152844</v>
      </c>
      <c r="C8" s="5">
        <v>14469</v>
      </c>
      <c r="D8" s="5">
        <v>135993</v>
      </c>
      <c r="E8" s="5">
        <v>81927</v>
      </c>
      <c r="F8" s="5">
        <v>60720</v>
      </c>
      <c r="G8" s="5">
        <v>79675</v>
      </c>
      <c r="H8" s="5">
        <v>202780</v>
      </c>
      <c r="I8" s="5">
        <v>728408</v>
      </c>
    </row>
    <row r="9" spans="1:9" x14ac:dyDescent="0.25">
      <c r="A9" s="9" t="s">
        <v>31</v>
      </c>
      <c r="B9" s="5">
        <v>414642</v>
      </c>
      <c r="C9" s="5">
        <v>94037</v>
      </c>
      <c r="D9" s="5">
        <v>397270</v>
      </c>
      <c r="E9" s="5">
        <v>316696</v>
      </c>
      <c r="F9" s="5">
        <v>216403</v>
      </c>
      <c r="G9" s="5">
        <v>176637</v>
      </c>
      <c r="H9" s="5">
        <v>563810</v>
      </c>
      <c r="I9" s="5">
        <v>2179495</v>
      </c>
    </row>
    <row r="21" spans="2:7" x14ac:dyDescent="0.25">
      <c r="B21" s="8" t="s">
        <v>32</v>
      </c>
      <c r="C21" s="8" t="s">
        <v>33</v>
      </c>
    </row>
    <row r="22" spans="2:7" x14ac:dyDescent="0.25">
      <c r="B22" s="8" t="s">
        <v>30</v>
      </c>
      <c r="C22" t="s">
        <v>25</v>
      </c>
      <c r="D22" t="s">
        <v>16</v>
      </c>
      <c r="E22" t="s">
        <v>14</v>
      </c>
      <c r="F22" t="s">
        <v>9</v>
      </c>
      <c r="G22" t="s">
        <v>31</v>
      </c>
    </row>
    <row r="23" spans="2:7" x14ac:dyDescent="0.25">
      <c r="B23" s="9" t="s">
        <v>21</v>
      </c>
      <c r="C23" s="5">
        <v>5015</v>
      </c>
      <c r="D23" s="5">
        <v>84139</v>
      </c>
      <c r="E23" s="5">
        <v>172644</v>
      </c>
      <c r="F23" s="5">
        <v>152844</v>
      </c>
      <c r="G23" s="5">
        <v>414642</v>
      </c>
    </row>
    <row r="24" spans="2:7" x14ac:dyDescent="0.25">
      <c r="B24" s="9" t="s">
        <v>17</v>
      </c>
      <c r="C24" s="5">
        <v>14372</v>
      </c>
      <c r="D24" s="5">
        <v>27389</v>
      </c>
      <c r="E24" s="5">
        <v>37807</v>
      </c>
      <c r="F24" s="5">
        <v>14469</v>
      </c>
      <c r="G24" s="5">
        <v>94037</v>
      </c>
    </row>
    <row r="25" spans="2:7" x14ac:dyDescent="0.25">
      <c r="B25" s="9" t="s">
        <v>24</v>
      </c>
      <c r="C25" s="5">
        <v>82661</v>
      </c>
      <c r="D25" s="5">
        <v>93289</v>
      </c>
      <c r="E25" s="5">
        <v>85327</v>
      </c>
      <c r="F25" s="5">
        <v>135993</v>
      </c>
      <c r="G25" s="5">
        <v>397270</v>
      </c>
    </row>
    <row r="26" spans="2:7" x14ac:dyDescent="0.25">
      <c r="B26" s="9" t="s">
        <v>19</v>
      </c>
      <c r="C26" s="5">
        <v>101936</v>
      </c>
      <c r="D26" s="5">
        <v>24968</v>
      </c>
      <c r="E26" s="5">
        <v>107865</v>
      </c>
      <c r="F26" s="5">
        <v>81927</v>
      </c>
      <c r="G26" s="5">
        <v>316696</v>
      </c>
    </row>
    <row r="27" spans="2:7" x14ac:dyDescent="0.25">
      <c r="B27" s="9" t="s">
        <v>22</v>
      </c>
      <c r="C27" s="5">
        <v>72179</v>
      </c>
      <c r="D27" s="5">
        <v>62339</v>
      </c>
      <c r="E27" s="5">
        <v>21165</v>
      </c>
      <c r="F27" s="5">
        <v>60720</v>
      </c>
      <c r="G27" s="5">
        <v>216403</v>
      </c>
    </row>
    <row r="28" spans="2:7" x14ac:dyDescent="0.25">
      <c r="B28" s="9" t="s">
        <v>12</v>
      </c>
      <c r="C28" s="5">
        <v>12917</v>
      </c>
      <c r="D28" s="5">
        <v>22147</v>
      </c>
      <c r="E28" s="5">
        <v>61898</v>
      </c>
      <c r="F28" s="5">
        <v>79675</v>
      </c>
      <c r="G28" s="5">
        <v>176637</v>
      </c>
    </row>
    <row r="29" spans="2:7" x14ac:dyDescent="0.25">
      <c r="B29" s="9" t="s">
        <v>10</v>
      </c>
      <c r="C29" s="5">
        <v>66020</v>
      </c>
      <c r="D29" s="5">
        <v>48990</v>
      </c>
      <c r="E29" s="5">
        <v>246020</v>
      </c>
      <c r="F29" s="5">
        <v>202780</v>
      </c>
      <c r="G29" s="5">
        <v>563810</v>
      </c>
    </row>
    <row r="30" spans="2:7" x14ac:dyDescent="0.25">
      <c r="B30" s="9" t="s">
        <v>31</v>
      </c>
      <c r="C30" s="5">
        <v>355100</v>
      </c>
      <c r="D30" s="5">
        <v>363261</v>
      </c>
      <c r="E30" s="5">
        <v>732726</v>
      </c>
      <c r="F30" s="5">
        <v>728408</v>
      </c>
      <c r="G30" s="5">
        <v>2179495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80F69-F170-4CD9-8F96-B61561298043}">
  <sheetPr codeName="Sheet2"/>
  <dimension ref="A1:Q313"/>
  <sheetViews>
    <sheetView workbookViewId="0">
      <selection sqref="A1:H313"/>
    </sheetView>
  </sheetViews>
  <sheetFormatPr defaultRowHeight="15" x14ac:dyDescent="0.25"/>
  <cols>
    <col min="1" max="9" width="19.7109375" customWidth="1"/>
  </cols>
  <sheetData>
    <row r="1" spans="1:17" x14ac:dyDescent="0.25">
      <c r="A1" s="3" t="s">
        <v>2</v>
      </c>
      <c r="B1" s="3" t="s">
        <v>3</v>
      </c>
      <c r="C1" s="3" t="s">
        <v>4</v>
      </c>
      <c r="D1" s="4" t="s">
        <v>1</v>
      </c>
      <c r="E1" s="3" t="s">
        <v>0</v>
      </c>
      <c r="F1" s="3" t="s">
        <v>5</v>
      </c>
      <c r="G1" s="3" t="s">
        <v>6</v>
      </c>
      <c r="H1" s="3" t="s">
        <v>7</v>
      </c>
      <c r="J1" s="1"/>
      <c r="K1" s="1"/>
      <c r="L1" s="1"/>
      <c r="M1" s="1"/>
      <c r="N1" s="1"/>
      <c r="O1" s="1"/>
      <c r="P1" s="1"/>
      <c r="Q1" s="1"/>
    </row>
    <row r="2" spans="1:17" x14ac:dyDescent="0.25">
      <c r="A2">
        <v>1</v>
      </c>
      <c r="B2" t="s">
        <v>8</v>
      </c>
      <c r="C2" t="s">
        <v>9</v>
      </c>
      <c r="D2" s="5">
        <v>4270</v>
      </c>
      <c r="E2" s="6">
        <v>44233</v>
      </c>
      <c r="F2" t="s">
        <v>10</v>
      </c>
      <c r="G2" s="6">
        <v>44889</v>
      </c>
      <c r="H2" s="7">
        <f>IF(D2&lt;5000,0,IF(D2&lt;20000,D2*10%,IF(D2&lt;=30000,D2*15%,IF(D2&gt;=45000,D2*20%,0))))</f>
        <v>0</v>
      </c>
      <c r="J2" s="2"/>
      <c r="K2" s="2"/>
      <c r="L2" s="2"/>
      <c r="M2" s="2"/>
      <c r="N2" s="2"/>
      <c r="O2" s="2"/>
      <c r="P2" s="1"/>
      <c r="Q2" s="1"/>
    </row>
    <row r="3" spans="1:17" x14ac:dyDescent="0.25">
      <c r="A3">
        <v>2</v>
      </c>
      <c r="B3" t="s">
        <v>11</v>
      </c>
      <c r="C3" t="s">
        <v>9</v>
      </c>
      <c r="D3" s="5">
        <v>8239</v>
      </c>
      <c r="E3" s="6">
        <v>44813</v>
      </c>
      <c r="F3" t="s">
        <v>12</v>
      </c>
      <c r="G3" s="6">
        <v>44529</v>
      </c>
      <c r="H3" s="7">
        <f t="shared" ref="H3:H66" si="0">IF(D3&lt;5000,0,IF(D3&lt;20000,D3*10%,IF(D3&lt;=30000,D3*15%,IF(D3&gt;=45000,D3*20%,0))))</f>
        <v>823.90000000000009</v>
      </c>
      <c r="J3" s="1"/>
      <c r="K3" s="1"/>
      <c r="L3" s="1"/>
      <c r="M3" s="2"/>
      <c r="N3" s="1"/>
      <c r="O3" s="2"/>
      <c r="P3" s="1"/>
      <c r="Q3" s="1"/>
    </row>
    <row r="4" spans="1:17" x14ac:dyDescent="0.25">
      <c r="A4">
        <v>3</v>
      </c>
      <c r="B4" t="s">
        <v>13</v>
      </c>
      <c r="C4" t="s">
        <v>14</v>
      </c>
      <c r="D4" s="5">
        <v>617</v>
      </c>
      <c r="E4" s="6">
        <v>44727</v>
      </c>
      <c r="F4" t="s">
        <v>10</v>
      </c>
      <c r="G4" s="6">
        <v>44903</v>
      </c>
      <c r="H4" s="7">
        <f t="shared" si="0"/>
        <v>0</v>
      </c>
      <c r="J4" s="1"/>
      <c r="K4" s="1"/>
      <c r="L4" s="1"/>
      <c r="M4" s="2"/>
      <c r="N4" s="1"/>
      <c r="O4" s="2"/>
      <c r="P4" s="1"/>
      <c r="Q4" s="1"/>
    </row>
    <row r="5" spans="1:17" x14ac:dyDescent="0.25">
      <c r="A5">
        <v>4</v>
      </c>
      <c r="B5" t="s">
        <v>15</v>
      </c>
      <c r="C5" t="s">
        <v>16</v>
      </c>
      <c r="D5" s="5">
        <v>8384</v>
      </c>
      <c r="E5" s="6">
        <v>44991</v>
      </c>
      <c r="F5" t="s">
        <v>17</v>
      </c>
      <c r="G5" s="6">
        <v>43666</v>
      </c>
      <c r="H5" s="7">
        <f t="shared" si="0"/>
        <v>838.40000000000009</v>
      </c>
      <c r="J5" s="2"/>
      <c r="K5" s="2"/>
      <c r="L5" s="2"/>
      <c r="M5" s="1"/>
      <c r="N5" s="1"/>
      <c r="O5" s="2"/>
      <c r="P5" s="1"/>
      <c r="Q5" s="1"/>
    </row>
    <row r="6" spans="1:17" x14ac:dyDescent="0.25">
      <c r="A6">
        <v>5</v>
      </c>
      <c r="B6" t="s">
        <v>18</v>
      </c>
      <c r="C6" t="s">
        <v>9</v>
      </c>
      <c r="D6" s="5">
        <v>2626</v>
      </c>
      <c r="E6" s="6">
        <v>44005</v>
      </c>
      <c r="F6" t="s">
        <v>19</v>
      </c>
      <c r="G6" s="6">
        <v>43101</v>
      </c>
      <c r="H6" s="7">
        <f t="shared" si="0"/>
        <v>0</v>
      </c>
      <c r="J6" s="1"/>
      <c r="K6" s="1"/>
      <c r="L6" s="1"/>
      <c r="M6" s="1"/>
      <c r="N6" s="1"/>
      <c r="O6" s="2"/>
      <c r="P6" s="1"/>
      <c r="Q6" s="1"/>
    </row>
    <row r="7" spans="1:17" x14ac:dyDescent="0.25">
      <c r="A7">
        <v>6</v>
      </c>
      <c r="B7" t="s">
        <v>20</v>
      </c>
      <c r="C7" t="s">
        <v>9</v>
      </c>
      <c r="D7" s="5">
        <v>3610</v>
      </c>
      <c r="E7" s="6">
        <v>44802</v>
      </c>
      <c r="F7" t="s">
        <v>10</v>
      </c>
      <c r="G7" s="6">
        <v>44503</v>
      </c>
      <c r="H7" s="7">
        <f t="shared" si="0"/>
        <v>0</v>
      </c>
      <c r="J7" s="2"/>
      <c r="K7" s="1"/>
      <c r="L7" s="1"/>
      <c r="M7" s="1"/>
      <c r="N7" s="1"/>
      <c r="O7" s="2"/>
      <c r="P7" s="1"/>
      <c r="Q7" s="1"/>
    </row>
    <row r="8" spans="1:17" x14ac:dyDescent="0.25">
      <c r="A8">
        <v>7</v>
      </c>
      <c r="B8" t="s">
        <v>11</v>
      </c>
      <c r="C8" t="s">
        <v>9</v>
      </c>
      <c r="D8" s="5">
        <v>9062</v>
      </c>
      <c r="E8" s="6">
        <v>44898</v>
      </c>
      <c r="F8" t="s">
        <v>21</v>
      </c>
      <c r="G8" s="6">
        <v>44788</v>
      </c>
      <c r="H8" s="7">
        <f t="shared" si="0"/>
        <v>906.2</v>
      </c>
      <c r="J8" s="1"/>
      <c r="K8" s="2"/>
      <c r="L8" s="1"/>
      <c r="M8" s="1"/>
      <c r="N8" s="1"/>
      <c r="O8" s="2"/>
      <c r="P8" s="1"/>
      <c r="Q8" s="1"/>
    </row>
    <row r="9" spans="1:17" x14ac:dyDescent="0.25">
      <c r="A9">
        <v>8</v>
      </c>
      <c r="B9" t="s">
        <v>13</v>
      </c>
      <c r="C9" t="s">
        <v>14</v>
      </c>
      <c r="D9" s="5">
        <v>6906</v>
      </c>
      <c r="E9" s="6">
        <v>44910</v>
      </c>
      <c r="F9" t="s">
        <v>22</v>
      </c>
      <c r="G9" s="6">
        <v>43808</v>
      </c>
      <c r="H9" s="7">
        <f t="shared" si="0"/>
        <v>690.6</v>
      </c>
      <c r="J9" s="1"/>
      <c r="K9" s="1"/>
      <c r="L9" s="2"/>
      <c r="M9" s="1"/>
      <c r="N9" s="1"/>
      <c r="O9" s="2"/>
      <c r="P9" s="1"/>
      <c r="Q9" s="1"/>
    </row>
    <row r="10" spans="1:17" x14ac:dyDescent="0.25">
      <c r="A10">
        <v>9</v>
      </c>
      <c r="B10" t="s">
        <v>23</v>
      </c>
      <c r="C10" t="s">
        <v>16</v>
      </c>
      <c r="D10" s="5">
        <v>2417</v>
      </c>
      <c r="E10" s="6">
        <v>45250</v>
      </c>
      <c r="F10" t="s">
        <v>24</v>
      </c>
      <c r="G10" s="6">
        <v>44865</v>
      </c>
      <c r="H10" s="7">
        <f t="shared" si="0"/>
        <v>0</v>
      </c>
      <c r="J10" s="1"/>
      <c r="K10" s="1"/>
      <c r="L10" s="1"/>
      <c r="M10" s="2"/>
      <c r="N10" s="2"/>
      <c r="O10" s="2"/>
      <c r="P10" s="1"/>
      <c r="Q10" s="1"/>
    </row>
    <row r="11" spans="1:17" x14ac:dyDescent="0.25">
      <c r="A11">
        <v>10</v>
      </c>
      <c r="B11" t="s">
        <v>23</v>
      </c>
      <c r="C11" t="s">
        <v>25</v>
      </c>
      <c r="D11" s="5">
        <v>7431</v>
      </c>
      <c r="E11" s="6">
        <v>44921</v>
      </c>
      <c r="F11" t="s">
        <v>17</v>
      </c>
      <c r="G11" s="6">
        <v>43336</v>
      </c>
      <c r="H11" s="7">
        <f t="shared" si="0"/>
        <v>743.1</v>
      </c>
      <c r="J11" s="1"/>
      <c r="K11" s="1"/>
      <c r="L11" s="1"/>
      <c r="M11" s="2"/>
      <c r="N11" s="1"/>
      <c r="O11" s="2"/>
      <c r="P11" s="1"/>
      <c r="Q11" s="1"/>
    </row>
    <row r="12" spans="1:17" x14ac:dyDescent="0.25">
      <c r="A12">
        <v>11</v>
      </c>
      <c r="B12" t="s">
        <v>13</v>
      </c>
      <c r="C12" t="s">
        <v>14</v>
      </c>
      <c r="D12" s="5">
        <v>8250</v>
      </c>
      <c r="E12" s="6">
        <v>44210</v>
      </c>
      <c r="F12" t="s">
        <v>19</v>
      </c>
      <c r="G12" s="6">
        <v>44819</v>
      </c>
      <c r="H12" s="7">
        <f t="shared" si="0"/>
        <v>825</v>
      </c>
      <c r="J12" s="1"/>
      <c r="K12" s="1"/>
      <c r="L12" s="1"/>
      <c r="M12" s="1"/>
      <c r="N12" s="2"/>
      <c r="O12" s="2"/>
      <c r="P12" s="1"/>
      <c r="Q12" s="1"/>
    </row>
    <row r="13" spans="1:17" x14ac:dyDescent="0.25">
      <c r="A13">
        <v>12</v>
      </c>
      <c r="B13" t="s">
        <v>11</v>
      </c>
      <c r="C13" t="s">
        <v>9</v>
      </c>
      <c r="D13" s="5">
        <v>7012</v>
      </c>
      <c r="E13" s="6">
        <v>44668</v>
      </c>
      <c r="F13" t="s">
        <v>10</v>
      </c>
      <c r="G13" s="6">
        <v>43224</v>
      </c>
      <c r="H13" s="7">
        <f t="shared" si="0"/>
        <v>701.2</v>
      </c>
      <c r="J13" s="2"/>
      <c r="K13" s="2"/>
      <c r="L13" s="2"/>
      <c r="M13" s="1"/>
      <c r="N13" s="1"/>
      <c r="O13" s="2"/>
      <c r="P13" s="1"/>
      <c r="Q13" s="1"/>
    </row>
    <row r="14" spans="1:17" x14ac:dyDescent="0.25">
      <c r="A14">
        <v>13</v>
      </c>
      <c r="B14" t="s">
        <v>8</v>
      </c>
      <c r="C14" t="s">
        <v>14</v>
      </c>
      <c r="D14" s="5">
        <v>1903</v>
      </c>
      <c r="E14" s="6">
        <v>45270</v>
      </c>
      <c r="F14" t="s">
        <v>19</v>
      </c>
      <c r="G14" s="6">
        <v>43695</v>
      </c>
      <c r="H14" s="7">
        <f t="shared" si="0"/>
        <v>0</v>
      </c>
      <c r="J14" s="1"/>
      <c r="K14" s="1"/>
      <c r="L14" s="1"/>
      <c r="M14" s="1"/>
      <c r="N14" s="1"/>
      <c r="O14" s="2"/>
      <c r="P14" s="1"/>
      <c r="Q14" s="1"/>
    </row>
    <row r="15" spans="1:17" x14ac:dyDescent="0.25">
      <c r="A15">
        <v>14</v>
      </c>
      <c r="B15" t="s">
        <v>11</v>
      </c>
      <c r="C15" t="s">
        <v>16</v>
      </c>
      <c r="D15" s="5">
        <v>2824</v>
      </c>
      <c r="E15" s="6">
        <v>45137</v>
      </c>
      <c r="F15" t="s">
        <v>10</v>
      </c>
      <c r="G15" s="6">
        <v>44719</v>
      </c>
      <c r="H15" s="7">
        <f t="shared" si="0"/>
        <v>0</v>
      </c>
      <c r="J15" s="2"/>
      <c r="K15" s="1"/>
      <c r="L15" s="1"/>
      <c r="M15" s="1"/>
      <c r="N15" s="1"/>
      <c r="O15" s="2"/>
      <c r="P15" s="1"/>
      <c r="Q15" s="1"/>
    </row>
    <row r="16" spans="1:17" x14ac:dyDescent="0.25">
      <c r="A16">
        <v>15</v>
      </c>
      <c r="B16" t="s">
        <v>23</v>
      </c>
      <c r="C16" t="s">
        <v>25</v>
      </c>
      <c r="D16" s="5">
        <v>6946</v>
      </c>
      <c r="E16" s="6">
        <v>44187</v>
      </c>
      <c r="F16" t="s">
        <v>12</v>
      </c>
      <c r="G16" s="6">
        <v>44174</v>
      </c>
      <c r="H16" s="7">
        <f t="shared" si="0"/>
        <v>694.6</v>
      </c>
      <c r="J16" s="1"/>
      <c r="K16" s="2"/>
      <c r="L16" s="1"/>
      <c r="M16" s="1"/>
      <c r="N16" s="1"/>
      <c r="O16" s="2"/>
      <c r="P16" s="1"/>
      <c r="Q16" s="1"/>
    </row>
    <row r="17" spans="1:17" x14ac:dyDescent="0.25">
      <c r="A17">
        <v>16</v>
      </c>
      <c r="B17" t="s">
        <v>13</v>
      </c>
      <c r="C17" t="s">
        <v>14</v>
      </c>
      <c r="D17" s="5">
        <v>2320</v>
      </c>
      <c r="E17" s="6">
        <v>45158</v>
      </c>
      <c r="F17" t="s">
        <v>10</v>
      </c>
      <c r="G17" s="6">
        <v>43391</v>
      </c>
      <c r="H17" s="7">
        <f t="shared" si="0"/>
        <v>0</v>
      </c>
      <c r="J17" s="1"/>
      <c r="K17" s="1"/>
      <c r="L17" s="2"/>
      <c r="M17" s="1"/>
      <c r="N17" s="1"/>
      <c r="O17" s="2"/>
      <c r="P17" s="1"/>
      <c r="Q17" s="1"/>
    </row>
    <row r="18" spans="1:17" x14ac:dyDescent="0.25">
      <c r="A18">
        <v>17</v>
      </c>
      <c r="B18" t="s">
        <v>13</v>
      </c>
      <c r="C18" t="s">
        <v>9</v>
      </c>
      <c r="D18" s="5">
        <v>2116</v>
      </c>
      <c r="E18" s="6">
        <v>45154</v>
      </c>
      <c r="F18" t="s">
        <v>17</v>
      </c>
      <c r="G18" s="6">
        <v>43911</v>
      </c>
      <c r="H18" s="7">
        <f t="shared" si="0"/>
        <v>0</v>
      </c>
      <c r="J18" s="2"/>
      <c r="K18" s="2"/>
      <c r="L18" s="2"/>
      <c r="M18" s="2"/>
      <c r="N18" s="2"/>
      <c r="O18" s="2"/>
      <c r="P18" s="1"/>
      <c r="Q18" s="1"/>
    </row>
    <row r="19" spans="1:17" x14ac:dyDescent="0.25">
      <c r="A19">
        <v>18</v>
      </c>
      <c r="B19" t="s">
        <v>13</v>
      </c>
      <c r="C19" t="s">
        <v>9</v>
      </c>
      <c r="D19" s="5">
        <v>1135</v>
      </c>
      <c r="E19" s="6">
        <v>44347</v>
      </c>
      <c r="F19" t="s">
        <v>19</v>
      </c>
      <c r="G19" s="6">
        <v>44258</v>
      </c>
      <c r="H19" s="7">
        <f t="shared" si="0"/>
        <v>0</v>
      </c>
      <c r="J19" s="1"/>
      <c r="K19" s="1"/>
      <c r="L19" s="1"/>
      <c r="M19" s="1"/>
      <c r="N19" s="1"/>
      <c r="O19" s="1"/>
      <c r="P19" s="1"/>
      <c r="Q19" s="1"/>
    </row>
    <row r="20" spans="1:17" x14ac:dyDescent="0.25">
      <c r="A20">
        <v>19</v>
      </c>
      <c r="B20" t="s">
        <v>11</v>
      </c>
      <c r="C20" t="s">
        <v>9</v>
      </c>
      <c r="D20" s="5">
        <v>3595</v>
      </c>
      <c r="E20" s="6">
        <v>43872</v>
      </c>
      <c r="F20" t="s">
        <v>10</v>
      </c>
      <c r="G20" s="6">
        <v>43510</v>
      </c>
      <c r="H20" s="7">
        <f t="shared" si="0"/>
        <v>0</v>
      </c>
      <c r="J20" s="1"/>
      <c r="K20" s="1"/>
      <c r="L20" s="1"/>
      <c r="M20" s="1"/>
      <c r="N20" s="1"/>
      <c r="O20" s="1"/>
      <c r="P20" s="1"/>
      <c r="Q20" s="1"/>
    </row>
    <row r="21" spans="1:17" x14ac:dyDescent="0.25">
      <c r="A21">
        <v>20</v>
      </c>
      <c r="B21" t="s">
        <v>23</v>
      </c>
      <c r="C21" t="s">
        <v>14</v>
      </c>
      <c r="D21" s="5">
        <v>1161</v>
      </c>
      <c r="E21" s="6">
        <v>43959</v>
      </c>
      <c r="F21" t="s">
        <v>21</v>
      </c>
      <c r="G21" s="6">
        <v>43801</v>
      </c>
      <c r="H21" s="7">
        <f t="shared" si="0"/>
        <v>0</v>
      </c>
      <c r="J21" s="1"/>
      <c r="K21" s="1"/>
      <c r="L21" s="1"/>
      <c r="M21" s="1"/>
      <c r="N21" s="1"/>
      <c r="O21" s="1"/>
      <c r="P21" s="1"/>
      <c r="Q21" s="1"/>
    </row>
    <row r="22" spans="1:17" x14ac:dyDescent="0.25">
      <c r="A22">
        <v>21</v>
      </c>
      <c r="B22" t="s">
        <v>20</v>
      </c>
      <c r="C22" t="s">
        <v>16</v>
      </c>
      <c r="D22" s="5">
        <v>2256</v>
      </c>
      <c r="E22" s="6">
        <v>44393</v>
      </c>
      <c r="F22" t="s">
        <v>22</v>
      </c>
      <c r="G22" s="6">
        <v>43580</v>
      </c>
      <c r="H22" s="7">
        <f t="shared" si="0"/>
        <v>0</v>
      </c>
      <c r="J22" s="1"/>
      <c r="K22" s="1"/>
      <c r="L22" s="1"/>
      <c r="M22" s="1"/>
      <c r="N22" s="1"/>
      <c r="O22" s="1"/>
      <c r="P22" s="1"/>
      <c r="Q22" s="1"/>
    </row>
    <row r="23" spans="1:17" x14ac:dyDescent="0.25">
      <c r="A23">
        <v>22</v>
      </c>
      <c r="B23" t="s">
        <v>13</v>
      </c>
      <c r="C23" t="s">
        <v>25</v>
      </c>
      <c r="D23" s="5">
        <v>1004</v>
      </c>
      <c r="E23" s="6">
        <v>45117</v>
      </c>
      <c r="F23" t="s">
        <v>24</v>
      </c>
      <c r="G23" s="6">
        <v>45280</v>
      </c>
      <c r="H23" s="7">
        <f t="shared" si="0"/>
        <v>0</v>
      </c>
      <c r="J23" s="1"/>
      <c r="K23" s="1"/>
      <c r="L23" s="1"/>
      <c r="M23" s="1"/>
      <c r="N23" s="1"/>
      <c r="O23" s="1"/>
      <c r="P23" s="1"/>
      <c r="Q23" s="1"/>
    </row>
    <row r="24" spans="1:17" x14ac:dyDescent="0.25">
      <c r="A24">
        <v>23</v>
      </c>
      <c r="B24" t="s">
        <v>13</v>
      </c>
      <c r="C24" t="s">
        <v>14</v>
      </c>
      <c r="D24" s="5">
        <v>3642</v>
      </c>
      <c r="E24" s="6">
        <v>44468</v>
      </c>
      <c r="F24" t="s">
        <v>17</v>
      </c>
      <c r="G24" s="6">
        <v>44461</v>
      </c>
      <c r="H24" s="7">
        <f t="shared" si="0"/>
        <v>0</v>
      </c>
      <c r="J24" s="1"/>
      <c r="K24" s="1"/>
      <c r="L24" s="1"/>
      <c r="M24" s="1"/>
      <c r="N24" s="1"/>
      <c r="O24" s="1"/>
      <c r="P24" s="1"/>
      <c r="Q24" s="1"/>
    </row>
    <row r="25" spans="1:17" x14ac:dyDescent="0.25">
      <c r="A25">
        <v>24</v>
      </c>
      <c r="B25" t="s">
        <v>13</v>
      </c>
      <c r="C25" t="s">
        <v>9</v>
      </c>
      <c r="D25" s="5">
        <v>4582</v>
      </c>
      <c r="E25" s="6">
        <v>44378</v>
      </c>
      <c r="F25" t="s">
        <v>19</v>
      </c>
      <c r="G25" s="6">
        <v>44908</v>
      </c>
      <c r="H25" s="7">
        <f t="shared" si="0"/>
        <v>0</v>
      </c>
      <c r="J25" s="1"/>
      <c r="K25" s="1"/>
      <c r="L25" s="1"/>
      <c r="M25" s="1"/>
      <c r="N25" s="1"/>
      <c r="O25" s="1"/>
      <c r="P25" s="1"/>
      <c r="Q25" s="1"/>
    </row>
    <row r="26" spans="1:17" x14ac:dyDescent="0.25">
      <c r="A26">
        <v>25</v>
      </c>
      <c r="B26" t="s">
        <v>18</v>
      </c>
      <c r="C26" t="s">
        <v>14</v>
      </c>
      <c r="D26" s="5">
        <v>3559</v>
      </c>
      <c r="E26" s="6">
        <v>45255</v>
      </c>
      <c r="F26" t="s">
        <v>10</v>
      </c>
      <c r="G26" s="6">
        <v>44851</v>
      </c>
      <c r="H26" s="7">
        <f t="shared" si="0"/>
        <v>0</v>
      </c>
      <c r="J26" s="1"/>
      <c r="K26" s="1"/>
      <c r="L26" s="1"/>
      <c r="M26" s="1"/>
      <c r="N26" s="1"/>
      <c r="O26" s="1"/>
      <c r="P26" s="1"/>
      <c r="Q26" s="1"/>
    </row>
    <row r="27" spans="1:17" x14ac:dyDescent="0.25">
      <c r="A27">
        <v>26</v>
      </c>
      <c r="B27" t="s">
        <v>8</v>
      </c>
      <c r="C27" t="s">
        <v>16</v>
      </c>
      <c r="D27" s="5">
        <v>5154</v>
      </c>
      <c r="E27" s="6">
        <v>43957</v>
      </c>
      <c r="F27" t="s">
        <v>19</v>
      </c>
      <c r="G27" s="6">
        <v>43696</v>
      </c>
      <c r="H27" s="7">
        <f t="shared" si="0"/>
        <v>515.4</v>
      </c>
      <c r="J27" s="1"/>
      <c r="K27" s="1"/>
      <c r="L27" s="1"/>
      <c r="M27" s="1"/>
      <c r="N27" s="1"/>
      <c r="O27" s="1"/>
      <c r="P27" s="1"/>
      <c r="Q27" s="1"/>
    </row>
    <row r="28" spans="1:17" x14ac:dyDescent="0.25">
      <c r="A28">
        <v>27</v>
      </c>
      <c r="B28" t="s">
        <v>26</v>
      </c>
      <c r="C28" t="s">
        <v>25</v>
      </c>
      <c r="D28" s="5">
        <v>7388</v>
      </c>
      <c r="E28" s="6">
        <v>45165</v>
      </c>
      <c r="F28" t="s">
        <v>10</v>
      </c>
      <c r="G28" s="6">
        <v>44569</v>
      </c>
      <c r="H28" s="7">
        <f t="shared" si="0"/>
        <v>738.80000000000007</v>
      </c>
      <c r="J28" s="1"/>
      <c r="K28" s="1"/>
      <c r="L28" s="1"/>
      <c r="M28" s="1"/>
      <c r="N28" s="1"/>
      <c r="O28" s="1"/>
      <c r="P28" s="1"/>
      <c r="Q28" s="1"/>
    </row>
    <row r="29" spans="1:17" x14ac:dyDescent="0.25">
      <c r="A29">
        <v>28</v>
      </c>
      <c r="B29" t="s">
        <v>18</v>
      </c>
      <c r="C29" t="s">
        <v>14</v>
      </c>
      <c r="D29" s="5">
        <v>7163</v>
      </c>
      <c r="E29" s="6">
        <v>45074</v>
      </c>
      <c r="F29" t="s">
        <v>12</v>
      </c>
      <c r="G29" s="6">
        <v>44294</v>
      </c>
      <c r="H29" s="7">
        <f t="shared" si="0"/>
        <v>716.30000000000007</v>
      </c>
      <c r="J29" s="1"/>
      <c r="K29" s="1"/>
      <c r="L29" s="1"/>
      <c r="M29" s="1"/>
      <c r="N29" s="1"/>
      <c r="O29" s="1"/>
      <c r="P29" s="1"/>
      <c r="Q29" s="1"/>
    </row>
    <row r="30" spans="1:17" x14ac:dyDescent="0.25">
      <c r="A30">
        <v>29</v>
      </c>
      <c r="B30" t="s">
        <v>18</v>
      </c>
      <c r="C30" t="s">
        <v>9</v>
      </c>
      <c r="D30" s="5">
        <v>5101</v>
      </c>
      <c r="E30" s="6">
        <v>44461</v>
      </c>
      <c r="F30" t="s">
        <v>19</v>
      </c>
      <c r="G30" s="6">
        <v>44330</v>
      </c>
      <c r="H30" s="7">
        <f t="shared" si="0"/>
        <v>510.1</v>
      </c>
      <c r="J30" s="1"/>
      <c r="K30" s="1"/>
      <c r="L30" s="1"/>
      <c r="M30" s="1"/>
      <c r="N30" s="1"/>
      <c r="O30" s="1"/>
      <c r="P30" s="1"/>
      <c r="Q30" s="1"/>
    </row>
    <row r="31" spans="1:17" x14ac:dyDescent="0.25">
      <c r="A31">
        <v>30</v>
      </c>
      <c r="B31" t="s">
        <v>23</v>
      </c>
      <c r="C31" t="s">
        <v>9</v>
      </c>
      <c r="D31" s="5">
        <v>7602</v>
      </c>
      <c r="E31" s="6">
        <v>45206</v>
      </c>
      <c r="F31" t="s">
        <v>24</v>
      </c>
      <c r="G31" s="6">
        <v>43954</v>
      </c>
      <c r="H31" s="7">
        <f t="shared" si="0"/>
        <v>760.2</v>
      </c>
      <c r="J31" s="1"/>
      <c r="K31" s="1"/>
      <c r="L31" s="1"/>
      <c r="M31" s="1"/>
      <c r="N31" s="1"/>
      <c r="O31" s="1"/>
      <c r="P31" s="1"/>
      <c r="Q31" s="1"/>
    </row>
    <row r="32" spans="1:17" x14ac:dyDescent="0.25">
      <c r="A32">
        <v>31</v>
      </c>
      <c r="B32" t="s">
        <v>26</v>
      </c>
      <c r="C32" t="s">
        <v>9</v>
      </c>
      <c r="D32" s="5">
        <v>1641</v>
      </c>
      <c r="E32" s="6">
        <v>45105</v>
      </c>
      <c r="F32" t="s">
        <v>10</v>
      </c>
      <c r="G32" s="6">
        <v>44632</v>
      </c>
      <c r="H32" s="7">
        <f t="shared" si="0"/>
        <v>0</v>
      </c>
      <c r="J32" s="1"/>
      <c r="K32" s="1"/>
      <c r="L32" s="1"/>
      <c r="M32" s="1"/>
      <c r="N32" s="1"/>
      <c r="O32" s="1"/>
      <c r="P32" s="1"/>
      <c r="Q32" s="1"/>
    </row>
    <row r="33" spans="1:17" x14ac:dyDescent="0.25">
      <c r="A33">
        <v>32</v>
      </c>
      <c r="B33" t="s">
        <v>23</v>
      </c>
      <c r="C33" t="s">
        <v>14</v>
      </c>
      <c r="D33" s="5">
        <v>8892</v>
      </c>
      <c r="E33" s="6">
        <v>44707</v>
      </c>
      <c r="F33" t="s">
        <v>21</v>
      </c>
      <c r="G33" s="6">
        <v>44365</v>
      </c>
      <c r="H33" s="7">
        <f t="shared" si="0"/>
        <v>889.2</v>
      </c>
      <c r="J33" s="1"/>
      <c r="K33" s="1"/>
      <c r="L33" s="1"/>
      <c r="M33" s="1"/>
      <c r="N33" s="1"/>
      <c r="O33" s="1"/>
      <c r="P33" s="1"/>
      <c r="Q33" s="1"/>
    </row>
    <row r="34" spans="1:17" x14ac:dyDescent="0.25">
      <c r="A34">
        <v>33</v>
      </c>
      <c r="B34" t="s">
        <v>23</v>
      </c>
      <c r="C34" t="s">
        <v>16</v>
      </c>
      <c r="D34" s="5">
        <v>2060</v>
      </c>
      <c r="E34" s="6">
        <v>44098</v>
      </c>
      <c r="F34" t="s">
        <v>24</v>
      </c>
      <c r="G34" s="6">
        <v>44448</v>
      </c>
      <c r="H34" s="7">
        <f t="shared" si="0"/>
        <v>0</v>
      </c>
      <c r="J34" s="1"/>
      <c r="K34" s="1"/>
      <c r="L34" s="1"/>
      <c r="M34" s="1"/>
      <c r="N34" s="1"/>
      <c r="O34" s="1"/>
      <c r="P34" s="1"/>
      <c r="Q34" s="1"/>
    </row>
    <row r="35" spans="1:17" x14ac:dyDescent="0.25">
      <c r="A35">
        <v>34</v>
      </c>
      <c r="B35" t="s">
        <v>11</v>
      </c>
      <c r="C35" t="s">
        <v>25</v>
      </c>
      <c r="D35" s="5">
        <v>1557</v>
      </c>
      <c r="E35" s="6">
        <v>44860</v>
      </c>
      <c r="F35" t="s">
        <v>19</v>
      </c>
      <c r="G35" s="6">
        <v>44980</v>
      </c>
      <c r="H35" s="7">
        <f t="shared" si="0"/>
        <v>0</v>
      </c>
      <c r="J35" s="1"/>
      <c r="K35" s="1"/>
      <c r="L35" s="1"/>
      <c r="M35" s="1"/>
      <c r="N35" s="1"/>
      <c r="O35" s="1"/>
      <c r="P35" s="1"/>
      <c r="Q35" s="1"/>
    </row>
    <row r="36" spans="1:17" x14ac:dyDescent="0.25">
      <c r="A36">
        <v>35</v>
      </c>
      <c r="B36" t="s">
        <v>23</v>
      </c>
      <c r="C36" t="s">
        <v>14</v>
      </c>
      <c r="D36" s="5">
        <v>6509</v>
      </c>
      <c r="E36" s="6">
        <v>44130</v>
      </c>
      <c r="F36" t="s">
        <v>24</v>
      </c>
      <c r="G36" s="6">
        <v>45284</v>
      </c>
      <c r="H36" s="7">
        <f t="shared" si="0"/>
        <v>650.90000000000009</v>
      </c>
      <c r="J36" s="1"/>
      <c r="K36" s="1"/>
      <c r="L36" s="1"/>
      <c r="M36" s="1"/>
      <c r="N36" s="1"/>
      <c r="O36" s="1"/>
      <c r="P36" s="1"/>
      <c r="Q36" s="1"/>
    </row>
    <row r="37" spans="1:17" x14ac:dyDescent="0.25">
      <c r="A37">
        <v>36</v>
      </c>
      <c r="B37" t="s">
        <v>23</v>
      </c>
      <c r="C37" t="s">
        <v>9</v>
      </c>
      <c r="D37" s="5">
        <v>5718</v>
      </c>
      <c r="E37" s="6">
        <v>44349</v>
      </c>
      <c r="F37" t="s">
        <v>21</v>
      </c>
      <c r="G37" s="6">
        <v>45285</v>
      </c>
      <c r="H37" s="7">
        <f t="shared" si="0"/>
        <v>571.80000000000007</v>
      </c>
    </row>
    <row r="38" spans="1:17" x14ac:dyDescent="0.25">
      <c r="A38">
        <v>37</v>
      </c>
      <c r="B38" t="s">
        <v>23</v>
      </c>
      <c r="C38" t="s">
        <v>14</v>
      </c>
      <c r="D38" s="5">
        <v>7655</v>
      </c>
      <c r="E38" s="6">
        <v>44763</v>
      </c>
      <c r="F38" t="s">
        <v>10</v>
      </c>
      <c r="G38" s="6">
        <v>43249</v>
      </c>
      <c r="H38" s="7">
        <f t="shared" si="0"/>
        <v>765.5</v>
      </c>
    </row>
    <row r="39" spans="1:17" x14ac:dyDescent="0.25">
      <c r="A39">
        <v>38</v>
      </c>
      <c r="B39" t="s">
        <v>8</v>
      </c>
      <c r="C39" t="s">
        <v>16</v>
      </c>
      <c r="D39" s="5">
        <v>9116</v>
      </c>
      <c r="E39" s="6">
        <v>44384</v>
      </c>
      <c r="F39" t="s">
        <v>12</v>
      </c>
      <c r="G39" s="6">
        <v>43776</v>
      </c>
      <c r="H39" s="7">
        <f t="shared" si="0"/>
        <v>911.6</v>
      </c>
    </row>
    <row r="40" spans="1:17" x14ac:dyDescent="0.25">
      <c r="A40">
        <v>39</v>
      </c>
      <c r="B40" t="s">
        <v>13</v>
      </c>
      <c r="C40" t="s">
        <v>25</v>
      </c>
      <c r="D40" s="5">
        <v>2795</v>
      </c>
      <c r="E40" s="6">
        <v>43839</v>
      </c>
      <c r="F40" t="s">
        <v>10</v>
      </c>
      <c r="G40" s="6">
        <v>44080</v>
      </c>
      <c r="H40" s="7">
        <f t="shared" si="0"/>
        <v>0</v>
      </c>
    </row>
    <row r="41" spans="1:17" x14ac:dyDescent="0.25">
      <c r="A41">
        <v>40</v>
      </c>
      <c r="B41" t="s">
        <v>13</v>
      </c>
      <c r="C41" t="s">
        <v>14</v>
      </c>
      <c r="D41" s="5">
        <v>5084</v>
      </c>
      <c r="E41" s="6">
        <v>44663</v>
      </c>
      <c r="F41" t="s">
        <v>10</v>
      </c>
      <c r="G41" s="6">
        <v>43581</v>
      </c>
      <c r="H41" s="7">
        <f t="shared" si="0"/>
        <v>508.40000000000003</v>
      </c>
    </row>
    <row r="42" spans="1:17" x14ac:dyDescent="0.25">
      <c r="A42">
        <v>41</v>
      </c>
      <c r="B42" t="s">
        <v>8</v>
      </c>
      <c r="C42" t="s">
        <v>9</v>
      </c>
      <c r="D42" s="5">
        <v>8941</v>
      </c>
      <c r="E42" s="6">
        <v>45007</v>
      </c>
      <c r="F42" t="s">
        <v>12</v>
      </c>
      <c r="G42" s="6">
        <v>43738</v>
      </c>
      <c r="H42" s="7">
        <f t="shared" si="0"/>
        <v>894.1</v>
      </c>
    </row>
    <row r="43" spans="1:17" x14ac:dyDescent="0.25">
      <c r="A43">
        <v>42</v>
      </c>
      <c r="B43" t="s">
        <v>11</v>
      </c>
      <c r="C43" t="s">
        <v>9</v>
      </c>
      <c r="D43" s="5">
        <v>5341</v>
      </c>
      <c r="E43" s="6">
        <v>44455</v>
      </c>
      <c r="F43" t="s">
        <v>24</v>
      </c>
      <c r="G43" s="6">
        <v>43317</v>
      </c>
      <c r="H43" s="7">
        <f t="shared" si="0"/>
        <v>534.1</v>
      </c>
    </row>
    <row r="44" spans="1:17" x14ac:dyDescent="0.25">
      <c r="A44">
        <v>43</v>
      </c>
      <c r="B44" t="s">
        <v>13</v>
      </c>
      <c r="C44" t="s">
        <v>9</v>
      </c>
      <c r="D44" s="5">
        <v>135</v>
      </c>
      <c r="E44" s="6">
        <v>44803</v>
      </c>
      <c r="F44" t="s">
        <v>17</v>
      </c>
      <c r="G44" s="6">
        <v>44936</v>
      </c>
      <c r="H44" s="7">
        <f t="shared" si="0"/>
        <v>0</v>
      </c>
    </row>
    <row r="45" spans="1:17" x14ac:dyDescent="0.25">
      <c r="A45">
        <v>44</v>
      </c>
      <c r="B45" t="s">
        <v>13</v>
      </c>
      <c r="C45" t="s">
        <v>14</v>
      </c>
      <c r="D45" s="5">
        <v>9400</v>
      </c>
      <c r="E45" s="6">
        <v>44443</v>
      </c>
      <c r="F45" t="s">
        <v>21</v>
      </c>
      <c r="G45" s="6">
        <v>44238</v>
      </c>
      <c r="H45" s="7">
        <f t="shared" si="0"/>
        <v>940</v>
      </c>
    </row>
    <row r="46" spans="1:17" x14ac:dyDescent="0.25">
      <c r="A46">
        <v>45</v>
      </c>
      <c r="B46" t="s">
        <v>18</v>
      </c>
      <c r="C46" t="s">
        <v>16</v>
      </c>
      <c r="D46" s="5">
        <v>6045</v>
      </c>
      <c r="E46" s="6">
        <v>44289</v>
      </c>
      <c r="F46" t="s">
        <v>19</v>
      </c>
      <c r="G46" s="6">
        <v>44713</v>
      </c>
      <c r="H46" s="7">
        <f t="shared" si="0"/>
        <v>604.5</v>
      </c>
    </row>
    <row r="47" spans="1:17" x14ac:dyDescent="0.25">
      <c r="A47">
        <v>46</v>
      </c>
      <c r="B47" t="s">
        <v>23</v>
      </c>
      <c r="C47" t="s">
        <v>25</v>
      </c>
      <c r="D47" s="5">
        <v>5820</v>
      </c>
      <c r="E47" s="6">
        <v>44801</v>
      </c>
      <c r="F47" t="s">
        <v>22</v>
      </c>
      <c r="G47" s="6">
        <v>43952</v>
      </c>
      <c r="H47" s="7">
        <f t="shared" si="0"/>
        <v>582</v>
      </c>
    </row>
    <row r="48" spans="1:17" x14ac:dyDescent="0.25">
      <c r="A48">
        <v>47</v>
      </c>
      <c r="B48" t="s">
        <v>20</v>
      </c>
      <c r="C48" t="s">
        <v>14</v>
      </c>
      <c r="D48" s="5">
        <v>8887</v>
      </c>
      <c r="E48" s="6">
        <v>44782</v>
      </c>
      <c r="F48" t="s">
        <v>19</v>
      </c>
      <c r="G48" s="6">
        <v>45127</v>
      </c>
      <c r="H48" s="7">
        <f t="shared" si="0"/>
        <v>888.7</v>
      </c>
    </row>
    <row r="49" spans="1:8" x14ac:dyDescent="0.25">
      <c r="A49">
        <v>48</v>
      </c>
      <c r="B49" t="s">
        <v>20</v>
      </c>
      <c r="C49" t="s">
        <v>9</v>
      </c>
      <c r="D49" s="5">
        <v>6982</v>
      </c>
      <c r="E49" s="6">
        <v>43962</v>
      </c>
      <c r="F49" t="s">
        <v>10</v>
      </c>
      <c r="G49" s="6">
        <v>44576</v>
      </c>
      <c r="H49" s="7">
        <f t="shared" si="0"/>
        <v>698.2</v>
      </c>
    </row>
    <row r="50" spans="1:8" x14ac:dyDescent="0.25">
      <c r="A50">
        <v>49</v>
      </c>
      <c r="B50" t="s">
        <v>13</v>
      </c>
      <c r="C50" t="s">
        <v>14</v>
      </c>
      <c r="D50" s="5">
        <v>4029</v>
      </c>
      <c r="E50" s="6">
        <v>44893</v>
      </c>
      <c r="F50" t="s">
        <v>21</v>
      </c>
      <c r="G50" s="6">
        <v>44520</v>
      </c>
      <c r="H50" s="7">
        <f t="shared" si="0"/>
        <v>0</v>
      </c>
    </row>
    <row r="51" spans="1:8" x14ac:dyDescent="0.25">
      <c r="A51">
        <v>50</v>
      </c>
      <c r="B51" t="s">
        <v>8</v>
      </c>
      <c r="C51" t="s">
        <v>16</v>
      </c>
      <c r="D51" s="5">
        <v>3665</v>
      </c>
      <c r="E51" s="6">
        <v>44083</v>
      </c>
      <c r="F51" t="s">
        <v>19</v>
      </c>
      <c r="G51" s="6">
        <v>43211</v>
      </c>
      <c r="H51" s="7">
        <f t="shared" si="0"/>
        <v>0</v>
      </c>
    </row>
    <row r="52" spans="1:8" x14ac:dyDescent="0.25">
      <c r="A52">
        <v>51</v>
      </c>
      <c r="B52" t="s">
        <v>13</v>
      </c>
      <c r="C52" t="s">
        <v>25</v>
      </c>
      <c r="D52" s="5">
        <v>4781</v>
      </c>
      <c r="E52" s="6">
        <v>45082</v>
      </c>
      <c r="F52" t="s">
        <v>24</v>
      </c>
      <c r="G52" s="6">
        <v>44805</v>
      </c>
      <c r="H52" s="7">
        <f t="shared" si="0"/>
        <v>0</v>
      </c>
    </row>
    <row r="53" spans="1:8" x14ac:dyDescent="0.25">
      <c r="A53">
        <v>52</v>
      </c>
      <c r="B53" t="s">
        <v>26</v>
      </c>
      <c r="C53" t="s">
        <v>14</v>
      </c>
      <c r="D53" s="5">
        <v>3663</v>
      </c>
      <c r="E53" s="6">
        <v>44729</v>
      </c>
      <c r="F53" t="s">
        <v>21</v>
      </c>
      <c r="G53" s="6">
        <v>43551</v>
      </c>
      <c r="H53" s="7">
        <f t="shared" si="0"/>
        <v>0</v>
      </c>
    </row>
    <row r="54" spans="1:8" x14ac:dyDescent="0.25">
      <c r="A54">
        <v>53</v>
      </c>
      <c r="B54" t="s">
        <v>23</v>
      </c>
      <c r="C54" t="s">
        <v>9</v>
      </c>
      <c r="D54" s="5">
        <v>6331</v>
      </c>
      <c r="E54" s="6">
        <v>44525</v>
      </c>
      <c r="F54" t="s">
        <v>24</v>
      </c>
      <c r="G54" s="6">
        <v>44784</v>
      </c>
      <c r="H54" s="7">
        <f t="shared" si="0"/>
        <v>633.1</v>
      </c>
    </row>
    <row r="55" spans="1:8" x14ac:dyDescent="0.25">
      <c r="A55">
        <v>54</v>
      </c>
      <c r="B55" t="s">
        <v>23</v>
      </c>
      <c r="C55" t="s">
        <v>9</v>
      </c>
      <c r="D55" s="5">
        <v>4364</v>
      </c>
      <c r="E55" s="6">
        <v>44184</v>
      </c>
      <c r="F55" t="s">
        <v>17</v>
      </c>
      <c r="G55" s="6">
        <v>45051</v>
      </c>
      <c r="H55" s="7">
        <f t="shared" si="0"/>
        <v>0</v>
      </c>
    </row>
    <row r="56" spans="1:8" x14ac:dyDescent="0.25">
      <c r="A56">
        <v>55</v>
      </c>
      <c r="B56" t="s">
        <v>8</v>
      </c>
      <c r="C56" t="s">
        <v>9</v>
      </c>
      <c r="D56" s="5">
        <v>607</v>
      </c>
      <c r="E56" s="6">
        <v>43989</v>
      </c>
      <c r="F56" t="s">
        <v>12</v>
      </c>
      <c r="G56" s="6">
        <v>44684</v>
      </c>
      <c r="H56" s="7">
        <f t="shared" si="0"/>
        <v>0</v>
      </c>
    </row>
    <row r="57" spans="1:8" x14ac:dyDescent="0.25">
      <c r="A57">
        <v>56</v>
      </c>
      <c r="B57" t="s">
        <v>13</v>
      </c>
      <c r="C57" t="s">
        <v>14</v>
      </c>
      <c r="D57" s="5">
        <v>1054</v>
      </c>
      <c r="E57" s="6">
        <v>44454</v>
      </c>
      <c r="F57" t="s">
        <v>22</v>
      </c>
      <c r="G57" s="6">
        <v>44741</v>
      </c>
      <c r="H57" s="7">
        <f t="shared" si="0"/>
        <v>0</v>
      </c>
    </row>
    <row r="58" spans="1:8" x14ac:dyDescent="0.25">
      <c r="A58">
        <v>57</v>
      </c>
      <c r="B58" t="s">
        <v>8</v>
      </c>
      <c r="C58" t="s">
        <v>16</v>
      </c>
      <c r="D58" s="5">
        <v>7659</v>
      </c>
      <c r="E58" s="6">
        <v>44502</v>
      </c>
      <c r="F58" t="s">
        <v>10</v>
      </c>
      <c r="G58" s="6">
        <v>43545</v>
      </c>
      <c r="H58" s="7">
        <f t="shared" si="0"/>
        <v>765.90000000000009</v>
      </c>
    </row>
    <row r="59" spans="1:8" x14ac:dyDescent="0.25">
      <c r="A59">
        <v>58</v>
      </c>
      <c r="B59" t="s">
        <v>11</v>
      </c>
      <c r="C59" t="s">
        <v>25</v>
      </c>
      <c r="D59" s="5">
        <v>277</v>
      </c>
      <c r="E59" s="6">
        <v>44997</v>
      </c>
      <c r="F59" t="s">
        <v>19</v>
      </c>
      <c r="G59" s="6">
        <v>44131</v>
      </c>
      <c r="H59" s="7">
        <f t="shared" si="0"/>
        <v>0</v>
      </c>
    </row>
    <row r="60" spans="1:8" x14ac:dyDescent="0.25">
      <c r="A60">
        <v>59</v>
      </c>
      <c r="B60" t="s">
        <v>13</v>
      </c>
      <c r="C60" t="s">
        <v>14</v>
      </c>
      <c r="D60" s="5">
        <v>235</v>
      </c>
      <c r="E60" s="6">
        <v>45041</v>
      </c>
      <c r="F60" t="s">
        <v>10</v>
      </c>
      <c r="G60" s="6">
        <v>43783</v>
      </c>
      <c r="H60" s="7">
        <f t="shared" si="0"/>
        <v>0</v>
      </c>
    </row>
    <row r="61" spans="1:8" x14ac:dyDescent="0.25">
      <c r="A61">
        <v>60</v>
      </c>
      <c r="B61" t="s">
        <v>20</v>
      </c>
      <c r="C61" t="s">
        <v>9</v>
      </c>
      <c r="D61" s="5">
        <v>1113</v>
      </c>
      <c r="E61" s="6">
        <v>45173</v>
      </c>
      <c r="F61" t="s">
        <v>21</v>
      </c>
      <c r="G61" s="6">
        <v>44198</v>
      </c>
      <c r="H61" s="7">
        <f t="shared" si="0"/>
        <v>0</v>
      </c>
    </row>
    <row r="62" spans="1:8" x14ac:dyDescent="0.25">
      <c r="A62">
        <v>61</v>
      </c>
      <c r="B62" t="s">
        <v>23</v>
      </c>
      <c r="C62" t="s">
        <v>14</v>
      </c>
      <c r="D62" s="5">
        <v>1128</v>
      </c>
      <c r="E62" s="6">
        <v>44099</v>
      </c>
      <c r="F62" t="s">
        <v>10</v>
      </c>
      <c r="G62" s="6">
        <v>44497</v>
      </c>
      <c r="H62" s="7">
        <f t="shared" si="0"/>
        <v>0</v>
      </c>
    </row>
    <row r="63" spans="1:8" x14ac:dyDescent="0.25">
      <c r="A63">
        <v>62</v>
      </c>
      <c r="B63" t="s">
        <v>11</v>
      </c>
      <c r="C63" t="s">
        <v>16</v>
      </c>
      <c r="D63" s="5">
        <v>9231</v>
      </c>
      <c r="E63" s="6">
        <v>44505</v>
      </c>
      <c r="F63" t="s">
        <v>17</v>
      </c>
      <c r="G63" s="6">
        <v>45031</v>
      </c>
      <c r="H63" s="7">
        <f t="shared" si="0"/>
        <v>923.1</v>
      </c>
    </row>
    <row r="64" spans="1:8" x14ac:dyDescent="0.25">
      <c r="A64">
        <v>63</v>
      </c>
      <c r="B64" t="s">
        <v>13</v>
      </c>
      <c r="C64" t="s">
        <v>25</v>
      </c>
      <c r="D64" s="5">
        <v>4387</v>
      </c>
      <c r="E64" s="6">
        <v>44864</v>
      </c>
      <c r="F64" t="s">
        <v>10</v>
      </c>
      <c r="G64" s="6">
        <v>44277</v>
      </c>
      <c r="H64" s="7">
        <f t="shared" si="0"/>
        <v>0</v>
      </c>
    </row>
    <row r="65" spans="1:8" x14ac:dyDescent="0.25">
      <c r="A65">
        <v>64</v>
      </c>
      <c r="B65" t="s">
        <v>23</v>
      </c>
      <c r="C65" t="s">
        <v>14</v>
      </c>
      <c r="D65" s="5">
        <v>2763</v>
      </c>
      <c r="E65" s="6">
        <v>44894</v>
      </c>
      <c r="F65" t="s">
        <v>17</v>
      </c>
      <c r="G65" s="6">
        <v>44186</v>
      </c>
      <c r="H65" s="7">
        <f t="shared" si="0"/>
        <v>0</v>
      </c>
    </row>
    <row r="66" spans="1:8" x14ac:dyDescent="0.25">
      <c r="A66">
        <v>65</v>
      </c>
      <c r="B66" t="s">
        <v>13</v>
      </c>
      <c r="C66" t="s">
        <v>9</v>
      </c>
      <c r="D66" s="5">
        <v>7898</v>
      </c>
      <c r="E66" s="6">
        <v>44088</v>
      </c>
      <c r="F66" t="s">
        <v>12</v>
      </c>
      <c r="G66" s="6">
        <v>43851</v>
      </c>
      <c r="H66" s="7">
        <f t="shared" si="0"/>
        <v>789.80000000000007</v>
      </c>
    </row>
    <row r="67" spans="1:8" x14ac:dyDescent="0.25">
      <c r="A67">
        <v>66</v>
      </c>
      <c r="B67" t="s">
        <v>13</v>
      </c>
      <c r="C67" t="s">
        <v>9</v>
      </c>
      <c r="D67" s="5">
        <v>2427</v>
      </c>
      <c r="E67" s="6">
        <v>44792</v>
      </c>
      <c r="F67" t="s">
        <v>24</v>
      </c>
      <c r="G67" s="6">
        <v>44667</v>
      </c>
      <c r="H67" s="7">
        <f t="shared" ref="H67:H130" si="1">IF(D67&lt;5000,0,IF(D67&lt;20000,D67*10%,IF(D67&lt;=30000,D67*15%,IF(D67&gt;=45000,D67*20%,0))))</f>
        <v>0</v>
      </c>
    </row>
    <row r="68" spans="1:8" x14ac:dyDescent="0.25">
      <c r="A68">
        <v>67</v>
      </c>
      <c r="B68" t="s">
        <v>13</v>
      </c>
      <c r="C68" t="s">
        <v>9</v>
      </c>
      <c r="D68" s="5">
        <v>8663</v>
      </c>
      <c r="E68" s="6">
        <v>45032</v>
      </c>
      <c r="F68" t="s">
        <v>22</v>
      </c>
      <c r="G68" s="6">
        <v>44146</v>
      </c>
      <c r="H68" s="7">
        <f t="shared" si="1"/>
        <v>866.30000000000007</v>
      </c>
    </row>
    <row r="69" spans="1:8" x14ac:dyDescent="0.25">
      <c r="A69">
        <v>68</v>
      </c>
      <c r="B69" t="s">
        <v>8</v>
      </c>
      <c r="C69" t="s">
        <v>14</v>
      </c>
      <c r="D69" s="5">
        <v>2789</v>
      </c>
      <c r="E69" s="6">
        <v>44522</v>
      </c>
      <c r="F69" t="s">
        <v>19</v>
      </c>
      <c r="G69" s="6">
        <v>45055</v>
      </c>
      <c r="H69" s="7">
        <f t="shared" si="1"/>
        <v>0</v>
      </c>
    </row>
    <row r="70" spans="1:8" x14ac:dyDescent="0.25">
      <c r="A70">
        <v>69</v>
      </c>
      <c r="B70" t="s">
        <v>13</v>
      </c>
      <c r="C70" t="s">
        <v>16</v>
      </c>
      <c r="D70" s="5">
        <v>4054</v>
      </c>
      <c r="E70" s="6">
        <v>44897</v>
      </c>
      <c r="F70" t="s">
        <v>10</v>
      </c>
      <c r="G70" s="6">
        <v>44387</v>
      </c>
      <c r="H70" s="7">
        <f t="shared" si="1"/>
        <v>0</v>
      </c>
    </row>
    <row r="71" spans="1:8" x14ac:dyDescent="0.25">
      <c r="A71">
        <v>70</v>
      </c>
      <c r="B71" t="s">
        <v>26</v>
      </c>
      <c r="C71" t="s">
        <v>25</v>
      </c>
      <c r="D71" s="5">
        <v>2262</v>
      </c>
      <c r="E71" s="6">
        <v>43959</v>
      </c>
      <c r="F71" t="s">
        <v>10</v>
      </c>
      <c r="G71" s="6">
        <v>43166</v>
      </c>
      <c r="H71" s="7">
        <f t="shared" si="1"/>
        <v>0</v>
      </c>
    </row>
    <row r="72" spans="1:8" x14ac:dyDescent="0.25">
      <c r="A72">
        <v>71</v>
      </c>
      <c r="B72" t="s">
        <v>26</v>
      </c>
      <c r="C72" t="s">
        <v>14</v>
      </c>
      <c r="D72" s="5">
        <v>5600</v>
      </c>
      <c r="E72" s="6">
        <v>44957</v>
      </c>
      <c r="F72" t="s">
        <v>12</v>
      </c>
      <c r="G72" s="6">
        <v>43360</v>
      </c>
      <c r="H72" s="7">
        <f t="shared" si="1"/>
        <v>560</v>
      </c>
    </row>
    <row r="73" spans="1:8" x14ac:dyDescent="0.25">
      <c r="A73">
        <v>72</v>
      </c>
      <c r="B73" t="s">
        <v>13</v>
      </c>
      <c r="C73" t="s">
        <v>9</v>
      </c>
      <c r="D73" s="5">
        <v>5787</v>
      </c>
      <c r="E73" s="6">
        <v>45182</v>
      </c>
      <c r="F73" t="s">
        <v>10</v>
      </c>
      <c r="G73" s="6">
        <v>43829</v>
      </c>
      <c r="H73" s="7">
        <f t="shared" si="1"/>
        <v>578.70000000000005</v>
      </c>
    </row>
    <row r="74" spans="1:8" x14ac:dyDescent="0.25">
      <c r="A74">
        <v>73</v>
      </c>
      <c r="B74" t="s">
        <v>20</v>
      </c>
      <c r="C74" t="s">
        <v>14</v>
      </c>
      <c r="D74" s="5">
        <v>6295</v>
      </c>
      <c r="E74" s="6">
        <v>45227</v>
      </c>
      <c r="F74" t="s">
        <v>17</v>
      </c>
      <c r="G74" s="6">
        <v>44652</v>
      </c>
      <c r="H74" s="7">
        <f t="shared" si="1"/>
        <v>629.5</v>
      </c>
    </row>
    <row r="75" spans="1:8" x14ac:dyDescent="0.25">
      <c r="A75">
        <v>74</v>
      </c>
      <c r="B75" t="s">
        <v>13</v>
      </c>
      <c r="C75" t="s">
        <v>16</v>
      </c>
      <c r="D75" s="5">
        <v>474</v>
      </c>
      <c r="E75" s="6">
        <v>43984</v>
      </c>
      <c r="F75" t="s">
        <v>19</v>
      </c>
      <c r="G75" s="6">
        <v>44621</v>
      </c>
      <c r="H75" s="7">
        <f t="shared" si="1"/>
        <v>0</v>
      </c>
    </row>
    <row r="76" spans="1:8" x14ac:dyDescent="0.25">
      <c r="A76">
        <v>75</v>
      </c>
      <c r="B76" t="s">
        <v>23</v>
      </c>
      <c r="C76" t="s">
        <v>25</v>
      </c>
      <c r="D76" s="5">
        <v>4325</v>
      </c>
      <c r="E76" s="6">
        <v>44615</v>
      </c>
      <c r="F76" t="s">
        <v>24</v>
      </c>
      <c r="G76" s="6">
        <v>43768</v>
      </c>
      <c r="H76" s="7">
        <f t="shared" si="1"/>
        <v>0</v>
      </c>
    </row>
    <row r="77" spans="1:8" x14ac:dyDescent="0.25">
      <c r="A77">
        <v>76</v>
      </c>
      <c r="B77" t="s">
        <v>13</v>
      </c>
      <c r="C77" t="s">
        <v>14</v>
      </c>
      <c r="D77" s="5">
        <v>592</v>
      </c>
      <c r="E77" s="6">
        <v>43996</v>
      </c>
      <c r="F77" t="s">
        <v>10</v>
      </c>
      <c r="G77" s="6">
        <v>44000</v>
      </c>
      <c r="H77" s="7">
        <f t="shared" si="1"/>
        <v>0</v>
      </c>
    </row>
    <row r="78" spans="1:8" x14ac:dyDescent="0.25">
      <c r="A78">
        <v>77</v>
      </c>
      <c r="B78" t="s">
        <v>20</v>
      </c>
      <c r="C78" t="s">
        <v>9</v>
      </c>
      <c r="D78" s="5">
        <v>4330</v>
      </c>
      <c r="E78" s="6">
        <v>45181</v>
      </c>
      <c r="F78" t="s">
        <v>10</v>
      </c>
      <c r="G78" s="6">
        <v>43453</v>
      </c>
      <c r="H78" s="7">
        <f t="shared" si="1"/>
        <v>0</v>
      </c>
    </row>
    <row r="79" spans="1:8" x14ac:dyDescent="0.25">
      <c r="A79">
        <v>78</v>
      </c>
      <c r="B79" t="s">
        <v>13</v>
      </c>
      <c r="C79" t="s">
        <v>9</v>
      </c>
      <c r="D79" s="5">
        <v>9405</v>
      </c>
      <c r="E79" s="6">
        <v>44837</v>
      </c>
      <c r="F79" t="s">
        <v>12</v>
      </c>
      <c r="G79" s="6">
        <v>45015</v>
      </c>
      <c r="H79" s="7">
        <f t="shared" si="1"/>
        <v>940.5</v>
      </c>
    </row>
    <row r="80" spans="1:8" x14ac:dyDescent="0.25">
      <c r="A80">
        <v>79</v>
      </c>
      <c r="B80" t="s">
        <v>23</v>
      </c>
      <c r="C80" t="s">
        <v>9</v>
      </c>
      <c r="D80" s="5">
        <v>7671</v>
      </c>
      <c r="E80" s="6">
        <v>44916</v>
      </c>
      <c r="F80" t="s">
        <v>24</v>
      </c>
      <c r="G80" s="6">
        <v>44267</v>
      </c>
      <c r="H80" s="7">
        <f t="shared" si="1"/>
        <v>767.1</v>
      </c>
    </row>
    <row r="81" spans="1:8" x14ac:dyDescent="0.25">
      <c r="A81">
        <v>80</v>
      </c>
      <c r="B81" t="s">
        <v>8</v>
      </c>
      <c r="C81" t="s">
        <v>14</v>
      </c>
      <c r="D81" s="5">
        <v>5791</v>
      </c>
      <c r="E81" s="6">
        <v>45267</v>
      </c>
      <c r="F81" t="s">
        <v>12</v>
      </c>
      <c r="G81" s="6">
        <v>43992</v>
      </c>
      <c r="H81" s="7">
        <f t="shared" si="1"/>
        <v>579.1</v>
      </c>
    </row>
    <row r="82" spans="1:8" x14ac:dyDescent="0.25">
      <c r="A82">
        <v>81</v>
      </c>
      <c r="B82" t="s">
        <v>13</v>
      </c>
      <c r="C82" t="s">
        <v>16</v>
      </c>
      <c r="D82" s="5">
        <v>6007</v>
      </c>
      <c r="E82" s="6">
        <v>44538</v>
      </c>
      <c r="F82" t="s">
        <v>17</v>
      </c>
      <c r="G82" s="6">
        <v>44666</v>
      </c>
      <c r="H82" s="7">
        <f t="shared" si="1"/>
        <v>600.70000000000005</v>
      </c>
    </row>
    <row r="83" spans="1:8" x14ac:dyDescent="0.25">
      <c r="A83">
        <v>82</v>
      </c>
      <c r="B83" t="s">
        <v>13</v>
      </c>
      <c r="C83" t="s">
        <v>25</v>
      </c>
      <c r="D83" s="5">
        <v>5030</v>
      </c>
      <c r="E83" s="6">
        <v>43836</v>
      </c>
      <c r="F83" t="s">
        <v>19</v>
      </c>
      <c r="G83" s="6">
        <v>45154</v>
      </c>
      <c r="H83" s="7">
        <f t="shared" si="1"/>
        <v>503</v>
      </c>
    </row>
    <row r="84" spans="1:8" x14ac:dyDescent="0.25">
      <c r="A84">
        <v>83</v>
      </c>
      <c r="B84" t="s">
        <v>8</v>
      </c>
      <c r="C84" t="s">
        <v>14</v>
      </c>
      <c r="D84" s="5">
        <v>6763</v>
      </c>
      <c r="E84" s="6">
        <v>44938</v>
      </c>
      <c r="F84" t="s">
        <v>12</v>
      </c>
      <c r="G84" s="6">
        <v>44215</v>
      </c>
      <c r="H84" s="7">
        <f t="shared" si="1"/>
        <v>676.30000000000007</v>
      </c>
    </row>
    <row r="85" spans="1:8" x14ac:dyDescent="0.25">
      <c r="A85">
        <v>84</v>
      </c>
      <c r="B85" t="s">
        <v>13</v>
      </c>
      <c r="C85" t="s">
        <v>9</v>
      </c>
      <c r="D85" s="5">
        <v>4248</v>
      </c>
      <c r="E85" s="6">
        <v>44091</v>
      </c>
      <c r="F85" t="s">
        <v>21</v>
      </c>
      <c r="G85" s="6">
        <v>45015</v>
      </c>
      <c r="H85" s="7">
        <f t="shared" si="1"/>
        <v>0</v>
      </c>
    </row>
    <row r="86" spans="1:8" x14ac:dyDescent="0.25">
      <c r="A86">
        <v>85</v>
      </c>
      <c r="B86" t="s">
        <v>13</v>
      </c>
      <c r="C86" t="s">
        <v>14</v>
      </c>
      <c r="D86" s="5">
        <v>9543</v>
      </c>
      <c r="E86" s="6">
        <v>44557</v>
      </c>
      <c r="F86" t="s">
        <v>24</v>
      </c>
      <c r="G86" s="6">
        <v>43568</v>
      </c>
      <c r="H86" s="7">
        <f t="shared" si="1"/>
        <v>954.30000000000007</v>
      </c>
    </row>
    <row r="87" spans="1:8" x14ac:dyDescent="0.25">
      <c r="A87">
        <v>86</v>
      </c>
      <c r="B87" t="s">
        <v>11</v>
      </c>
      <c r="C87" t="s">
        <v>16</v>
      </c>
      <c r="D87" s="5">
        <v>2054</v>
      </c>
      <c r="E87" s="6">
        <v>45028</v>
      </c>
      <c r="F87" t="s">
        <v>12</v>
      </c>
      <c r="G87" s="6">
        <v>43730</v>
      </c>
      <c r="H87" s="7">
        <f t="shared" si="1"/>
        <v>0</v>
      </c>
    </row>
    <row r="88" spans="1:8" x14ac:dyDescent="0.25">
      <c r="A88">
        <v>87</v>
      </c>
      <c r="B88" t="s">
        <v>18</v>
      </c>
      <c r="C88" t="s">
        <v>25</v>
      </c>
      <c r="D88" s="5">
        <v>7094</v>
      </c>
      <c r="E88" s="6">
        <v>44641</v>
      </c>
      <c r="F88" t="s">
        <v>19</v>
      </c>
      <c r="G88" s="6">
        <v>44603</v>
      </c>
      <c r="H88" s="7">
        <f t="shared" si="1"/>
        <v>709.40000000000009</v>
      </c>
    </row>
    <row r="89" spans="1:8" x14ac:dyDescent="0.25">
      <c r="A89">
        <v>88</v>
      </c>
      <c r="B89" t="s">
        <v>8</v>
      </c>
      <c r="C89" t="s">
        <v>14</v>
      </c>
      <c r="D89" s="5">
        <v>6087</v>
      </c>
      <c r="E89" s="6">
        <v>44360</v>
      </c>
      <c r="F89" t="s">
        <v>10</v>
      </c>
      <c r="G89" s="6">
        <v>43790</v>
      </c>
      <c r="H89" s="7">
        <f t="shared" si="1"/>
        <v>608.70000000000005</v>
      </c>
    </row>
    <row r="90" spans="1:8" x14ac:dyDescent="0.25">
      <c r="A90">
        <v>89</v>
      </c>
      <c r="B90" t="s">
        <v>23</v>
      </c>
      <c r="C90" t="s">
        <v>9</v>
      </c>
      <c r="D90" s="5">
        <v>4264</v>
      </c>
      <c r="E90" s="6">
        <v>45268</v>
      </c>
      <c r="F90" t="s">
        <v>21</v>
      </c>
      <c r="G90" s="6">
        <v>44626</v>
      </c>
      <c r="H90" s="7">
        <f t="shared" si="1"/>
        <v>0</v>
      </c>
    </row>
    <row r="91" spans="1:8" x14ac:dyDescent="0.25">
      <c r="A91">
        <v>90</v>
      </c>
      <c r="B91" t="s">
        <v>26</v>
      </c>
      <c r="C91" t="s">
        <v>9</v>
      </c>
      <c r="D91" s="5">
        <v>9333</v>
      </c>
      <c r="E91" s="6">
        <v>44890</v>
      </c>
      <c r="F91" t="s">
        <v>10</v>
      </c>
      <c r="G91" s="6">
        <v>44655</v>
      </c>
      <c r="H91" s="7">
        <f t="shared" si="1"/>
        <v>933.30000000000007</v>
      </c>
    </row>
    <row r="92" spans="1:8" x14ac:dyDescent="0.25">
      <c r="A92">
        <v>91</v>
      </c>
      <c r="B92" t="s">
        <v>26</v>
      </c>
      <c r="C92" t="s">
        <v>9</v>
      </c>
      <c r="D92" s="5">
        <v>8775</v>
      </c>
      <c r="E92" s="6">
        <v>44094</v>
      </c>
      <c r="F92" t="s">
        <v>19</v>
      </c>
      <c r="G92" s="6">
        <v>43245</v>
      </c>
      <c r="H92" s="7">
        <f t="shared" si="1"/>
        <v>877.5</v>
      </c>
    </row>
    <row r="93" spans="1:8" x14ac:dyDescent="0.25">
      <c r="A93">
        <v>92</v>
      </c>
      <c r="B93" t="s">
        <v>11</v>
      </c>
      <c r="C93" t="s">
        <v>14</v>
      </c>
      <c r="D93" s="5">
        <v>2011</v>
      </c>
      <c r="E93" s="6">
        <v>44002</v>
      </c>
      <c r="F93" t="s">
        <v>12</v>
      </c>
      <c r="G93" s="6">
        <v>44701</v>
      </c>
      <c r="H93" s="7">
        <f t="shared" si="1"/>
        <v>0</v>
      </c>
    </row>
    <row r="94" spans="1:8" x14ac:dyDescent="0.25">
      <c r="A94">
        <v>93</v>
      </c>
      <c r="B94" t="s">
        <v>13</v>
      </c>
      <c r="C94" t="s">
        <v>16</v>
      </c>
      <c r="D94" s="5">
        <v>5632</v>
      </c>
      <c r="E94" s="6">
        <v>44526</v>
      </c>
      <c r="F94" t="s">
        <v>10</v>
      </c>
      <c r="G94" s="6">
        <v>45109</v>
      </c>
      <c r="H94" s="7">
        <f t="shared" si="1"/>
        <v>563.20000000000005</v>
      </c>
    </row>
    <row r="95" spans="1:8" x14ac:dyDescent="0.25">
      <c r="A95">
        <v>94</v>
      </c>
      <c r="B95" t="s">
        <v>13</v>
      </c>
      <c r="C95" t="s">
        <v>25</v>
      </c>
      <c r="D95" s="5">
        <v>4904</v>
      </c>
      <c r="E95" s="6">
        <v>44702</v>
      </c>
      <c r="F95" t="s">
        <v>22</v>
      </c>
      <c r="G95" s="6">
        <v>44278</v>
      </c>
      <c r="H95" s="7">
        <f t="shared" si="1"/>
        <v>0</v>
      </c>
    </row>
    <row r="96" spans="1:8" x14ac:dyDescent="0.25">
      <c r="A96">
        <v>95</v>
      </c>
      <c r="B96" t="s">
        <v>18</v>
      </c>
      <c r="C96" t="s">
        <v>14</v>
      </c>
      <c r="D96" s="5">
        <v>1002</v>
      </c>
      <c r="E96" s="6">
        <v>44435</v>
      </c>
      <c r="F96" t="s">
        <v>21</v>
      </c>
      <c r="G96" s="6">
        <v>43162</v>
      </c>
      <c r="H96" s="7">
        <f t="shared" si="1"/>
        <v>0</v>
      </c>
    </row>
    <row r="97" spans="1:8" x14ac:dyDescent="0.25">
      <c r="A97">
        <v>96</v>
      </c>
      <c r="B97" t="s">
        <v>20</v>
      </c>
      <c r="C97" t="s">
        <v>9</v>
      </c>
      <c r="D97" s="5">
        <v>8141</v>
      </c>
      <c r="E97" s="6">
        <v>44584</v>
      </c>
      <c r="F97" t="s">
        <v>12</v>
      </c>
      <c r="G97" s="6">
        <v>43266</v>
      </c>
      <c r="H97" s="7">
        <f t="shared" si="1"/>
        <v>814.1</v>
      </c>
    </row>
    <row r="98" spans="1:8" x14ac:dyDescent="0.25">
      <c r="A98">
        <v>97</v>
      </c>
      <c r="B98" t="s">
        <v>20</v>
      </c>
      <c r="C98" t="s">
        <v>14</v>
      </c>
      <c r="D98" s="5">
        <v>3644</v>
      </c>
      <c r="E98" s="6">
        <v>45201</v>
      </c>
      <c r="F98" t="s">
        <v>17</v>
      </c>
      <c r="G98" s="6">
        <v>43836</v>
      </c>
      <c r="H98" s="7">
        <f t="shared" si="1"/>
        <v>0</v>
      </c>
    </row>
    <row r="99" spans="1:8" x14ac:dyDescent="0.25">
      <c r="A99">
        <v>98</v>
      </c>
      <c r="B99" t="s">
        <v>20</v>
      </c>
      <c r="C99" t="s">
        <v>16</v>
      </c>
      <c r="D99" s="5">
        <v>1380</v>
      </c>
      <c r="E99" s="6">
        <v>44924</v>
      </c>
      <c r="F99" t="s">
        <v>21</v>
      </c>
      <c r="G99" s="6">
        <v>43502</v>
      </c>
      <c r="H99" s="7">
        <f t="shared" si="1"/>
        <v>0</v>
      </c>
    </row>
    <row r="100" spans="1:8" x14ac:dyDescent="0.25">
      <c r="A100">
        <v>99</v>
      </c>
      <c r="B100" t="s">
        <v>11</v>
      </c>
      <c r="C100" t="s">
        <v>25</v>
      </c>
      <c r="D100" s="5">
        <v>8354</v>
      </c>
      <c r="E100" s="6">
        <v>44339</v>
      </c>
      <c r="F100" t="s">
        <v>19</v>
      </c>
      <c r="G100" s="6">
        <v>43609</v>
      </c>
      <c r="H100" s="7">
        <f t="shared" si="1"/>
        <v>835.40000000000009</v>
      </c>
    </row>
    <row r="101" spans="1:8" x14ac:dyDescent="0.25">
      <c r="A101">
        <v>100</v>
      </c>
      <c r="B101" t="s">
        <v>13</v>
      </c>
      <c r="C101" t="s">
        <v>14</v>
      </c>
      <c r="D101" s="5">
        <v>5182</v>
      </c>
      <c r="E101" s="6">
        <v>43907</v>
      </c>
      <c r="F101" t="s">
        <v>10</v>
      </c>
      <c r="G101" s="6">
        <v>45243</v>
      </c>
      <c r="H101" s="7">
        <f t="shared" si="1"/>
        <v>518.20000000000005</v>
      </c>
    </row>
    <row r="102" spans="1:8" x14ac:dyDescent="0.25">
      <c r="A102">
        <v>101</v>
      </c>
      <c r="B102" t="s">
        <v>23</v>
      </c>
      <c r="C102" t="s">
        <v>9</v>
      </c>
      <c r="D102" s="5">
        <v>2193</v>
      </c>
      <c r="E102" s="6">
        <v>44529</v>
      </c>
      <c r="F102" t="s">
        <v>24</v>
      </c>
      <c r="G102" s="6">
        <v>43531</v>
      </c>
      <c r="H102" s="7">
        <f t="shared" si="1"/>
        <v>0</v>
      </c>
    </row>
    <row r="103" spans="1:8" x14ac:dyDescent="0.25">
      <c r="A103">
        <v>102</v>
      </c>
      <c r="B103" t="s">
        <v>26</v>
      </c>
      <c r="C103" t="s">
        <v>9</v>
      </c>
      <c r="D103" s="5">
        <v>3647</v>
      </c>
      <c r="E103" s="6">
        <v>44410</v>
      </c>
      <c r="F103" t="s">
        <v>10</v>
      </c>
      <c r="G103" s="6">
        <v>43153</v>
      </c>
      <c r="H103" s="7">
        <f t="shared" si="1"/>
        <v>0</v>
      </c>
    </row>
    <row r="104" spans="1:8" x14ac:dyDescent="0.25">
      <c r="A104">
        <v>103</v>
      </c>
      <c r="B104" t="s">
        <v>23</v>
      </c>
      <c r="C104" t="s">
        <v>9</v>
      </c>
      <c r="D104" s="5">
        <v>4104</v>
      </c>
      <c r="E104" s="6">
        <v>44594</v>
      </c>
      <c r="F104" t="s">
        <v>10</v>
      </c>
      <c r="G104" s="6">
        <v>45225</v>
      </c>
      <c r="H104" s="7">
        <f t="shared" si="1"/>
        <v>0</v>
      </c>
    </row>
    <row r="105" spans="1:8" x14ac:dyDescent="0.25">
      <c r="A105">
        <v>104</v>
      </c>
      <c r="B105" t="s">
        <v>8</v>
      </c>
      <c r="C105" t="s">
        <v>14</v>
      </c>
      <c r="D105" s="5">
        <v>7457</v>
      </c>
      <c r="E105" s="6">
        <v>44028</v>
      </c>
      <c r="F105" t="s">
        <v>10</v>
      </c>
      <c r="G105" s="6">
        <v>45051</v>
      </c>
      <c r="H105" s="7">
        <f t="shared" si="1"/>
        <v>745.7</v>
      </c>
    </row>
    <row r="106" spans="1:8" x14ac:dyDescent="0.25">
      <c r="A106">
        <v>105</v>
      </c>
      <c r="B106" t="s">
        <v>26</v>
      </c>
      <c r="C106" t="s">
        <v>16</v>
      </c>
      <c r="D106" s="5">
        <v>3767</v>
      </c>
      <c r="E106" s="6">
        <v>45145</v>
      </c>
      <c r="F106" t="s">
        <v>17</v>
      </c>
      <c r="G106" s="6">
        <v>43794</v>
      </c>
      <c r="H106" s="7">
        <f t="shared" si="1"/>
        <v>0</v>
      </c>
    </row>
    <row r="107" spans="1:8" x14ac:dyDescent="0.25">
      <c r="A107">
        <v>106</v>
      </c>
      <c r="B107" t="s">
        <v>11</v>
      </c>
      <c r="C107" t="s">
        <v>25</v>
      </c>
      <c r="D107" s="5">
        <v>4685</v>
      </c>
      <c r="E107" s="6">
        <v>43836</v>
      </c>
      <c r="F107" t="s">
        <v>19</v>
      </c>
      <c r="G107" s="6">
        <v>43517</v>
      </c>
      <c r="H107" s="7">
        <f t="shared" si="1"/>
        <v>0</v>
      </c>
    </row>
    <row r="108" spans="1:8" x14ac:dyDescent="0.25">
      <c r="A108">
        <v>107</v>
      </c>
      <c r="B108" t="s">
        <v>13</v>
      </c>
      <c r="C108" t="s">
        <v>14</v>
      </c>
      <c r="D108" s="5">
        <v>3917</v>
      </c>
      <c r="E108" s="6">
        <v>45231</v>
      </c>
      <c r="F108" t="s">
        <v>10</v>
      </c>
      <c r="G108" s="6">
        <v>43746</v>
      </c>
      <c r="H108" s="7">
        <f t="shared" si="1"/>
        <v>0</v>
      </c>
    </row>
    <row r="109" spans="1:8" x14ac:dyDescent="0.25">
      <c r="A109">
        <v>108</v>
      </c>
      <c r="B109" t="s">
        <v>23</v>
      </c>
      <c r="C109" t="s">
        <v>9</v>
      </c>
      <c r="D109" s="5">
        <v>521</v>
      </c>
      <c r="E109" s="6">
        <v>43982</v>
      </c>
      <c r="F109" t="s">
        <v>17</v>
      </c>
      <c r="G109" s="6">
        <v>43763</v>
      </c>
      <c r="H109" s="7">
        <f t="shared" si="1"/>
        <v>0</v>
      </c>
    </row>
    <row r="110" spans="1:8" x14ac:dyDescent="0.25">
      <c r="A110">
        <v>109</v>
      </c>
      <c r="B110" t="s">
        <v>23</v>
      </c>
      <c r="C110" t="s">
        <v>14</v>
      </c>
      <c r="D110" s="5">
        <v>5605</v>
      </c>
      <c r="E110" s="6">
        <v>45149</v>
      </c>
      <c r="F110" t="s">
        <v>24</v>
      </c>
      <c r="G110" s="6">
        <v>43467</v>
      </c>
      <c r="H110" s="7">
        <f t="shared" si="1"/>
        <v>560.5</v>
      </c>
    </row>
    <row r="111" spans="1:8" x14ac:dyDescent="0.25">
      <c r="A111">
        <v>110</v>
      </c>
      <c r="B111" t="s">
        <v>11</v>
      </c>
      <c r="C111" t="s">
        <v>16</v>
      </c>
      <c r="D111" s="5">
        <v>9630</v>
      </c>
      <c r="E111" s="6">
        <v>44960</v>
      </c>
      <c r="F111" t="s">
        <v>19</v>
      </c>
      <c r="G111" s="6">
        <v>44166</v>
      </c>
      <c r="H111" s="7">
        <f t="shared" si="1"/>
        <v>963</v>
      </c>
    </row>
    <row r="112" spans="1:8" x14ac:dyDescent="0.25">
      <c r="A112">
        <v>111</v>
      </c>
      <c r="B112" t="s">
        <v>13</v>
      </c>
      <c r="C112" t="s">
        <v>25</v>
      </c>
      <c r="D112" s="5">
        <v>6941</v>
      </c>
      <c r="E112" s="6">
        <v>43839</v>
      </c>
      <c r="F112" t="s">
        <v>17</v>
      </c>
      <c r="G112" s="6">
        <v>45054</v>
      </c>
      <c r="H112" s="7">
        <f t="shared" si="1"/>
        <v>694.1</v>
      </c>
    </row>
    <row r="113" spans="1:8" x14ac:dyDescent="0.25">
      <c r="A113">
        <v>112</v>
      </c>
      <c r="B113" t="s">
        <v>11</v>
      </c>
      <c r="C113" t="s">
        <v>14</v>
      </c>
      <c r="D113" s="5">
        <v>7231</v>
      </c>
      <c r="E113" s="6">
        <v>44969</v>
      </c>
      <c r="F113" t="s">
        <v>12</v>
      </c>
      <c r="G113" s="6">
        <v>45058</v>
      </c>
      <c r="H113" s="7">
        <f t="shared" si="1"/>
        <v>723.1</v>
      </c>
    </row>
    <row r="114" spans="1:8" x14ac:dyDescent="0.25">
      <c r="A114">
        <v>113</v>
      </c>
      <c r="B114" t="s">
        <v>11</v>
      </c>
      <c r="C114" t="s">
        <v>9</v>
      </c>
      <c r="D114" s="5">
        <v>8891</v>
      </c>
      <c r="E114" s="6">
        <v>44040</v>
      </c>
      <c r="F114" t="s">
        <v>21</v>
      </c>
      <c r="G114" s="6">
        <v>43414</v>
      </c>
      <c r="H114" s="7">
        <f t="shared" si="1"/>
        <v>889.1</v>
      </c>
    </row>
    <row r="115" spans="1:8" x14ac:dyDescent="0.25">
      <c r="A115">
        <v>114</v>
      </c>
      <c r="B115" t="s">
        <v>27</v>
      </c>
      <c r="C115" t="s">
        <v>9</v>
      </c>
      <c r="D115" s="5">
        <v>107</v>
      </c>
      <c r="E115" s="6">
        <v>44399</v>
      </c>
      <c r="F115" t="s">
        <v>24</v>
      </c>
      <c r="G115" s="6">
        <v>45280</v>
      </c>
      <c r="H115" s="7">
        <f t="shared" si="1"/>
        <v>0</v>
      </c>
    </row>
    <row r="116" spans="1:8" x14ac:dyDescent="0.25">
      <c r="A116">
        <v>115</v>
      </c>
      <c r="B116" t="s">
        <v>28</v>
      </c>
      <c r="C116" t="s">
        <v>9</v>
      </c>
      <c r="D116" s="5">
        <v>4243</v>
      </c>
      <c r="E116" s="6">
        <v>44617</v>
      </c>
      <c r="F116" t="s">
        <v>10</v>
      </c>
      <c r="G116" s="6">
        <v>45164</v>
      </c>
      <c r="H116" s="7">
        <f t="shared" si="1"/>
        <v>0</v>
      </c>
    </row>
    <row r="117" spans="1:8" x14ac:dyDescent="0.25">
      <c r="A117">
        <v>116</v>
      </c>
      <c r="B117" t="s">
        <v>27</v>
      </c>
      <c r="C117" t="s">
        <v>14</v>
      </c>
      <c r="D117" s="5">
        <v>4514</v>
      </c>
      <c r="E117" s="6">
        <v>44191</v>
      </c>
      <c r="F117" t="s">
        <v>10</v>
      </c>
      <c r="G117" s="6">
        <v>44531</v>
      </c>
      <c r="H117" s="7">
        <f t="shared" si="1"/>
        <v>0</v>
      </c>
    </row>
    <row r="118" spans="1:8" x14ac:dyDescent="0.25">
      <c r="A118">
        <v>117</v>
      </c>
      <c r="B118" t="s">
        <v>28</v>
      </c>
      <c r="C118" t="s">
        <v>16</v>
      </c>
      <c r="D118" s="5">
        <v>5480</v>
      </c>
      <c r="E118" s="6">
        <v>44150</v>
      </c>
      <c r="F118" t="s">
        <v>10</v>
      </c>
      <c r="G118" s="6">
        <v>44244</v>
      </c>
      <c r="H118" s="7">
        <f t="shared" si="1"/>
        <v>548</v>
      </c>
    </row>
    <row r="119" spans="1:8" x14ac:dyDescent="0.25">
      <c r="A119">
        <v>118</v>
      </c>
      <c r="B119" t="s">
        <v>27</v>
      </c>
      <c r="C119" t="s">
        <v>25</v>
      </c>
      <c r="D119" s="5">
        <v>5002</v>
      </c>
      <c r="E119" s="6">
        <v>44836</v>
      </c>
      <c r="F119" t="s">
        <v>24</v>
      </c>
      <c r="G119" s="6">
        <v>43941</v>
      </c>
      <c r="H119" s="7">
        <f t="shared" si="1"/>
        <v>500.20000000000005</v>
      </c>
    </row>
    <row r="120" spans="1:8" x14ac:dyDescent="0.25">
      <c r="A120">
        <v>119</v>
      </c>
      <c r="B120" t="s">
        <v>28</v>
      </c>
      <c r="C120" t="s">
        <v>14</v>
      </c>
      <c r="D120" s="5">
        <v>8530</v>
      </c>
      <c r="E120" s="6">
        <v>44135</v>
      </c>
      <c r="F120" t="s">
        <v>17</v>
      </c>
      <c r="G120" s="6">
        <v>43311</v>
      </c>
      <c r="H120" s="7">
        <f t="shared" si="1"/>
        <v>853</v>
      </c>
    </row>
    <row r="121" spans="1:8" x14ac:dyDescent="0.25">
      <c r="A121">
        <v>120</v>
      </c>
      <c r="B121" t="s">
        <v>27</v>
      </c>
      <c r="C121" t="s">
        <v>9</v>
      </c>
      <c r="D121" s="5">
        <v>4819</v>
      </c>
      <c r="E121" s="6">
        <v>44814</v>
      </c>
      <c r="F121" t="s">
        <v>22</v>
      </c>
      <c r="G121" s="6">
        <v>44340</v>
      </c>
      <c r="H121" s="7">
        <f t="shared" si="1"/>
        <v>0</v>
      </c>
    </row>
    <row r="122" spans="1:8" x14ac:dyDescent="0.25">
      <c r="A122">
        <v>121</v>
      </c>
      <c r="B122" t="s">
        <v>28</v>
      </c>
      <c r="C122" t="s">
        <v>14</v>
      </c>
      <c r="D122" s="5">
        <v>6343</v>
      </c>
      <c r="E122" s="6">
        <v>44964</v>
      </c>
      <c r="F122" t="s">
        <v>12</v>
      </c>
      <c r="G122" s="6">
        <v>44804</v>
      </c>
      <c r="H122" s="7">
        <f t="shared" si="1"/>
        <v>634.30000000000007</v>
      </c>
    </row>
    <row r="123" spans="1:8" x14ac:dyDescent="0.25">
      <c r="A123">
        <v>122</v>
      </c>
      <c r="B123" t="s">
        <v>27</v>
      </c>
      <c r="C123" t="s">
        <v>16</v>
      </c>
      <c r="D123" s="5">
        <v>2318</v>
      </c>
      <c r="E123" s="6">
        <v>44317</v>
      </c>
      <c r="F123" t="s">
        <v>12</v>
      </c>
      <c r="G123" s="6">
        <v>43138</v>
      </c>
      <c r="H123" s="7">
        <f t="shared" si="1"/>
        <v>0</v>
      </c>
    </row>
    <row r="124" spans="1:8" x14ac:dyDescent="0.25">
      <c r="A124">
        <v>123</v>
      </c>
      <c r="B124" t="s">
        <v>28</v>
      </c>
      <c r="C124" t="s">
        <v>25</v>
      </c>
      <c r="D124" s="5">
        <v>220</v>
      </c>
      <c r="E124" s="6">
        <v>45129</v>
      </c>
      <c r="F124" t="s">
        <v>12</v>
      </c>
      <c r="G124" s="6">
        <v>43913</v>
      </c>
      <c r="H124" s="7">
        <f t="shared" si="1"/>
        <v>0</v>
      </c>
    </row>
    <row r="125" spans="1:8" x14ac:dyDescent="0.25">
      <c r="A125">
        <v>124</v>
      </c>
      <c r="B125" t="s">
        <v>27</v>
      </c>
      <c r="C125" t="s">
        <v>14</v>
      </c>
      <c r="D125" s="5">
        <v>6341</v>
      </c>
      <c r="E125" s="6">
        <v>44190</v>
      </c>
      <c r="F125" t="s">
        <v>22</v>
      </c>
      <c r="G125" s="6">
        <v>43862</v>
      </c>
      <c r="H125" s="7">
        <f t="shared" si="1"/>
        <v>634.1</v>
      </c>
    </row>
    <row r="126" spans="1:8" x14ac:dyDescent="0.25">
      <c r="A126">
        <v>125</v>
      </c>
      <c r="B126" t="s">
        <v>28</v>
      </c>
      <c r="C126" t="s">
        <v>9</v>
      </c>
      <c r="D126" s="5">
        <v>330</v>
      </c>
      <c r="E126" s="6">
        <v>44490</v>
      </c>
      <c r="F126" t="s">
        <v>19</v>
      </c>
      <c r="G126" s="6">
        <v>45134</v>
      </c>
      <c r="H126" s="7">
        <f t="shared" si="1"/>
        <v>0</v>
      </c>
    </row>
    <row r="127" spans="1:8" x14ac:dyDescent="0.25">
      <c r="A127">
        <v>126</v>
      </c>
      <c r="B127" t="s">
        <v>27</v>
      </c>
      <c r="C127" t="s">
        <v>9</v>
      </c>
      <c r="D127" s="5">
        <v>3027</v>
      </c>
      <c r="E127" s="6">
        <v>43982</v>
      </c>
      <c r="F127" t="s">
        <v>12</v>
      </c>
      <c r="G127" s="6">
        <v>43198</v>
      </c>
      <c r="H127" s="7">
        <f t="shared" si="1"/>
        <v>0</v>
      </c>
    </row>
    <row r="128" spans="1:8" x14ac:dyDescent="0.25">
      <c r="A128">
        <v>127</v>
      </c>
      <c r="B128" t="s">
        <v>28</v>
      </c>
      <c r="C128" t="s">
        <v>9</v>
      </c>
      <c r="D128" s="5">
        <v>850</v>
      </c>
      <c r="E128" s="6">
        <v>44152</v>
      </c>
      <c r="F128" t="s">
        <v>22</v>
      </c>
      <c r="G128" s="6">
        <v>43452</v>
      </c>
      <c r="H128" s="7">
        <f t="shared" si="1"/>
        <v>0</v>
      </c>
    </row>
    <row r="129" spans="1:8" x14ac:dyDescent="0.25">
      <c r="A129">
        <v>128</v>
      </c>
      <c r="B129" t="s">
        <v>27</v>
      </c>
      <c r="C129" t="s">
        <v>14</v>
      </c>
      <c r="D129" s="5">
        <v>8986</v>
      </c>
      <c r="E129" s="6">
        <v>43859</v>
      </c>
      <c r="F129" t="s">
        <v>12</v>
      </c>
      <c r="G129" s="6">
        <v>44397</v>
      </c>
      <c r="H129" s="7">
        <f t="shared" si="1"/>
        <v>898.6</v>
      </c>
    </row>
    <row r="130" spans="1:8" x14ac:dyDescent="0.25">
      <c r="A130">
        <v>129</v>
      </c>
      <c r="B130" t="s">
        <v>11</v>
      </c>
      <c r="C130" t="s">
        <v>16</v>
      </c>
      <c r="D130" s="5">
        <v>3800</v>
      </c>
      <c r="E130" s="6">
        <v>44103</v>
      </c>
      <c r="F130" t="s">
        <v>10</v>
      </c>
      <c r="G130" s="6">
        <v>43595</v>
      </c>
      <c r="H130" s="7">
        <f t="shared" si="1"/>
        <v>0</v>
      </c>
    </row>
    <row r="131" spans="1:8" x14ac:dyDescent="0.25">
      <c r="A131">
        <v>130</v>
      </c>
      <c r="B131" t="s">
        <v>8</v>
      </c>
      <c r="C131" t="s">
        <v>25</v>
      </c>
      <c r="D131" s="5">
        <v>5751</v>
      </c>
      <c r="E131" s="6">
        <v>44552</v>
      </c>
      <c r="F131" t="s">
        <v>12</v>
      </c>
      <c r="G131" s="6">
        <v>45105</v>
      </c>
      <c r="H131" s="7">
        <f t="shared" ref="H131:H194" si="2">IF(D131&lt;5000,0,IF(D131&lt;20000,D131*10%,IF(D131&lt;=30000,D131*15%,IF(D131&gt;=45000,D131*20%,0))))</f>
        <v>575.1</v>
      </c>
    </row>
    <row r="132" spans="1:8" x14ac:dyDescent="0.25">
      <c r="A132">
        <v>131</v>
      </c>
      <c r="B132" t="s">
        <v>23</v>
      </c>
      <c r="C132" t="s">
        <v>14</v>
      </c>
      <c r="D132" s="5">
        <v>1704</v>
      </c>
      <c r="E132" s="6">
        <v>44831</v>
      </c>
      <c r="F132" t="s">
        <v>12</v>
      </c>
      <c r="G132" s="6">
        <v>44051</v>
      </c>
      <c r="H132" s="7">
        <f t="shared" si="2"/>
        <v>0</v>
      </c>
    </row>
    <row r="133" spans="1:8" x14ac:dyDescent="0.25">
      <c r="A133">
        <v>132</v>
      </c>
      <c r="B133" t="s">
        <v>13</v>
      </c>
      <c r="C133" t="s">
        <v>9</v>
      </c>
      <c r="D133" s="5">
        <v>7966</v>
      </c>
      <c r="E133" s="6">
        <v>44946</v>
      </c>
      <c r="F133" t="s">
        <v>21</v>
      </c>
      <c r="G133" s="6">
        <v>44864</v>
      </c>
      <c r="H133" s="7">
        <f t="shared" si="2"/>
        <v>796.6</v>
      </c>
    </row>
    <row r="134" spans="1:8" x14ac:dyDescent="0.25">
      <c r="A134">
        <v>133</v>
      </c>
      <c r="B134" t="s">
        <v>13</v>
      </c>
      <c r="C134" t="s">
        <v>14</v>
      </c>
      <c r="D134" s="5">
        <v>852</v>
      </c>
      <c r="E134" s="6">
        <v>44852</v>
      </c>
      <c r="F134" t="s">
        <v>10</v>
      </c>
      <c r="G134" s="6">
        <v>43281</v>
      </c>
      <c r="H134" s="7">
        <f t="shared" si="2"/>
        <v>0</v>
      </c>
    </row>
    <row r="135" spans="1:8" x14ac:dyDescent="0.25">
      <c r="A135">
        <v>134</v>
      </c>
      <c r="B135" t="s">
        <v>18</v>
      </c>
      <c r="C135" t="s">
        <v>16</v>
      </c>
      <c r="D135" s="5">
        <v>8416</v>
      </c>
      <c r="E135" s="6">
        <v>44140</v>
      </c>
      <c r="F135" t="s">
        <v>21</v>
      </c>
      <c r="G135" s="6">
        <v>43324</v>
      </c>
      <c r="H135" s="7">
        <f t="shared" si="2"/>
        <v>841.6</v>
      </c>
    </row>
    <row r="136" spans="1:8" x14ac:dyDescent="0.25">
      <c r="A136">
        <v>135</v>
      </c>
      <c r="B136" t="s">
        <v>13</v>
      </c>
      <c r="C136" t="s">
        <v>25</v>
      </c>
      <c r="D136" s="5">
        <v>7144</v>
      </c>
      <c r="E136" s="6">
        <v>44059</v>
      </c>
      <c r="F136" t="s">
        <v>24</v>
      </c>
      <c r="G136" s="6">
        <v>44537</v>
      </c>
      <c r="H136" s="7">
        <f t="shared" si="2"/>
        <v>714.40000000000009</v>
      </c>
    </row>
    <row r="137" spans="1:8" x14ac:dyDescent="0.25">
      <c r="A137">
        <v>136</v>
      </c>
      <c r="B137" t="s">
        <v>11</v>
      </c>
      <c r="C137" t="s">
        <v>14</v>
      </c>
      <c r="D137" s="5">
        <v>7854</v>
      </c>
      <c r="E137" s="6">
        <v>45073</v>
      </c>
      <c r="F137" t="s">
        <v>10</v>
      </c>
      <c r="G137" s="6">
        <v>43455</v>
      </c>
      <c r="H137" s="7">
        <f t="shared" si="2"/>
        <v>785.40000000000009</v>
      </c>
    </row>
    <row r="138" spans="1:8" x14ac:dyDescent="0.25">
      <c r="A138">
        <v>137</v>
      </c>
      <c r="B138" t="s">
        <v>20</v>
      </c>
      <c r="C138" t="s">
        <v>9</v>
      </c>
      <c r="D138" s="5">
        <v>859</v>
      </c>
      <c r="E138" s="6">
        <v>44358</v>
      </c>
      <c r="F138" t="s">
        <v>10</v>
      </c>
      <c r="G138" s="6">
        <v>44644</v>
      </c>
      <c r="H138" s="7">
        <f t="shared" si="2"/>
        <v>0</v>
      </c>
    </row>
    <row r="139" spans="1:8" x14ac:dyDescent="0.25">
      <c r="A139">
        <v>138</v>
      </c>
      <c r="B139" t="s">
        <v>11</v>
      </c>
      <c r="C139" t="s">
        <v>9</v>
      </c>
      <c r="D139" s="5">
        <v>8049</v>
      </c>
      <c r="E139" s="6">
        <v>45286</v>
      </c>
      <c r="F139" t="s">
        <v>10</v>
      </c>
      <c r="G139" s="6">
        <v>43344</v>
      </c>
      <c r="H139" s="7">
        <f t="shared" si="2"/>
        <v>804.90000000000009</v>
      </c>
    </row>
    <row r="140" spans="1:8" x14ac:dyDescent="0.25">
      <c r="A140">
        <v>139</v>
      </c>
      <c r="B140" t="s">
        <v>13</v>
      </c>
      <c r="C140" t="s">
        <v>9</v>
      </c>
      <c r="D140" s="5">
        <v>2836</v>
      </c>
      <c r="E140" s="6">
        <v>44929</v>
      </c>
      <c r="F140" t="s">
        <v>19</v>
      </c>
      <c r="G140" s="6">
        <v>45154</v>
      </c>
      <c r="H140" s="7">
        <f t="shared" si="2"/>
        <v>0</v>
      </c>
    </row>
    <row r="141" spans="1:8" x14ac:dyDescent="0.25">
      <c r="A141">
        <v>140</v>
      </c>
      <c r="B141" t="s">
        <v>8</v>
      </c>
      <c r="C141" t="s">
        <v>14</v>
      </c>
      <c r="D141" s="5">
        <v>1743</v>
      </c>
      <c r="E141" s="6">
        <v>44412</v>
      </c>
      <c r="F141" t="s">
        <v>10</v>
      </c>
      <c r="G141" s="6">
        <v>43785</v>
      </c>
      <c r="H141" s="7">
        <f t="shared" si="2"/>
        <v>0</v>
      </c>
    </row>
    <row r="142" spans="1:8" x14ac:dyDescent="0.25">
      <c r="A142">
        <v>141</v>
      </c>
      <c r="B142" t="s">
        <v>23</v>
      </c>
      <c r="C142" t="s">
        <v>16</v>
      </c>
      <c r="D142" s="5">
        <v>3844</v>
      </c>
      <c r="E142" s="6">
        <v>44430</v>
      </c>
      <c r="F142" t="s">
        <v>24</v>
      </c>
      <c r="G142" s="6">
        <v>43823</v>
      </c>
      <c r="H142" s="7">
        <f t="shared" si="2"/>
        <v>0</v>
      </c>
    </row>
    <row r="143" spans="1:8" x14ac:dyDescent="0.25">
      <c r="A143">
        <v>142</v>
      </c>
      <c r="B143" t="s">
        <v>23</v>
      </c>
      <c r="C143" t="s">
        <v>25</v>
      </c>
      <c r="D143" s="5">
        <v>7490</v>
      </c>
      <c r="E143" s="6">
        <v>44555</v>
      </c>
      <c r="F143" t="s">
        <v>24</v>
      </c>
      <c r="G143" s="6">
        <v>43974</v>
      </c>
      <c r="H143" s="7">
        <f t="shared" si="2"/>
        <v>749</v>
      </c>
    </row>
    <row r="144" spans="1:8" x14ac:dyDescent="0.25">
      <c r="A144">
        <v>143</v>
      </c>
      <c r="B144" t="s">
        <v>11</v>
      </c>
      <c r="C144" t="s">
        <v>14</v>
      </c>
      <c r="D144" s="5">
        <v>4483</v>
      </c>
      <c r="E144" s="6">
        <v>44050</v>
      </c>
      <c r="F144" t="s">
        <v>19</v>
      </c>
      <c r="G144" s="6">
        <v>43530</v>
      </c>
      <c r="H144" s="7">
        <f t="shared" si="2"/>
        <v>0</v>
      </c>
    </row>
    <row r="145" spans="1:8" x14ac:dyDescent="0.25">
      <c r="A145">
        <v>144</v>
      </c>
      <c r="B145" t="s">
        <v>23</v>
      </c>
      <c r="C145" t="s">
        <v>9</v>
      </c>
      <c r="D145" s="5">
        <v>7333</v>
      </c>
      <c r="E145" s="6">
        <v>44787</v>
      </c>
      <c r="F145" t="s">
        <v>17</v>
      </c>
      <c r="G145" s="6">
        <v>45111</v>
      </c>
      <c r="H145" s="7">
        <f t="shared" si="2"/>
        <v>733.30000000000007</v>
      </c>
    </row>
    <row r="146" spans="1:8" x14ac:dyDescent="0.25">
      <c r="A146">
        <v>145</v>
      </c>
      <c r="B146" t="s">
        <v>8</v>
      </c>
      <c r="C146" t="s">
        <v>14</v>
      </c>
      <c r="D146" s="5">
        <v>7654</v>
      </c>
      <c r="E146" s="6">
        <v>44441</v>
      </c>
      <c r="F146" t="s">
        <v>10</v>
      </c>
      <c r="G146" s="6">
        <v>43646</v>
      </c>
      <c r="H146" s="7">
        <f t="shared" si="2"/>
        <v>765.40000000000009</v>
      </c>
    </row>
    <row r="147" spans="1:8" x14ac:dyDescent="0.25">
      <c r="A147">
        <v>146</v>
      </c>
      <c r="B147" t="s">
        <v>23</v>
      </c>
      <c r="C147" t="s">
        <v>16</v>
      </c>
      <c r="D147" s="5">
        <v>3944</v>
      </c>
      <c r="E147" s="6">
        <v>44963</v>
      </c>
      <c r="F147" t="s">
        <v>12</v>
      </c>
      <c r="G147" s="6">
        <v>43800</v>
      </c>
      <c r="H147" s="7">
        <f t="shared" si="2"/>
        <v>0</v>
      </c>
    </row>
    <row r="148" spans="1:8" x14ac:dyDescent="0.25">
      <c r="A148">
        <v>147</v>
      </c>
      <c r="B148" t="s">
        <v>18</v>
      </c>
      <c r="C148" t="s">
        <v>25</v>
      </c>
      <c r="D148" s="5">
        <v>5761</v>
      </c>
      <c r="E148" s="6">
        <v>44773</v>
      </c>
      <c r="F148" t="s">
        <v>19</v>
      </c>
      <c r="G148" s="6">
        <v>43494</v>
      </c>
      <c r="H148" s="7">
        <f t="shared" si="2"/>
        <v>576.1</v>
      </c>
    </row>
    <row r="149" spans="1:8" x14ac:dyDescent="0.25">
      <c r="A149">
        <v>148</v>
      </c>
      <c r="B149" t="s">
        <v>13</v>
      </c>
      <c r="C149" t="s">
        <v>14</v>
      </c>
      <c r="D149" s="5">
        <v>6864</v>
      </c>
      <c r="E149" s="6">
        <v>43841</v>
      </c>
      <c r="F149" t="s">
        <v>22</v>
      </c>
      <c r="G149" s="6">
        <v>43788</v>
      </c>
      <c r="H149" s="7">
        <f t="shared" si="2"/>
        <v>686.40000000000009</v>
      </c>
    </row>
    <row r="150" spans="1:8" x14ac:dyDescent="0.25">
      <c r="A150">
        <v>149</v>
      </c>
      <c r="B150" t="s">
        <v>13</v>
      </c>
      <c r="C150" t="s">
        <v>9</v>
      </c>
      <c r="D150" s="5">
        <v>4016</v>
      </c>
      <c r="E150" s="6">
        <v>44740</v>
      </c>
      <c r="F150" t="s">
        <v>19</v>
      </c>
      <c r="G150" s="6">
        <v>44043</v>
      </c>
      <c r="H150" s="7">
        <f t="shared" si="2"/>
        <v>0</v>
      </c>
    </row>
    <row r="151" spans="1:8" x14ac:dyDescent="0.25">
      <c r="A151">
        <v>150</v>
      </c>
      <c r="B151" t="s">
        <v>13</v>
      </c>
      <c r="C151" t="s">
        <v>9</v>
      </c>
      <c r="D151" s="5">
        <v>1841</v>
      </c>
      <c r="E151" s="6">
        <v>44103</v>
      </c>
      <c r="F151" t="s">
        <v>10</v>
      </c>
      <c r="G151" s="6">
        <v>43219</v>
      </c>
      <c r="H151" s="7">
        <f t="shared" si="2"/>
        <v>0</v>
      </c>
    </row>
    <row r="152" spans="1:8" x14ac:dyDescent="0.25">
      <c r="A152">
        <v>151</v>
      </c>
      <c r="B152" t="s">
        <v>13</v>
      </c>
      <c r="C152" t="s">
        <v>9</v>
      </c>
      <c r="D152" s="5">
        <v>424</v>
      </c>
      <c r="E152" s="6">
        <v>44667</v>
      </c>
      <c r="F152" t="s">
        <v>21</v>
      </c>
      <c r="G152" s="6">
        <v>44333</v>
      </c>
      <c r="H152" s="7">
        <f t="shared" si="2"/>
        <v>0</v>
      </c>
    </row>
    <row r="153" spans="1:8" x14ac:dyDescent="0.25">
      <c r="A153">
        <v>152</v>
      </c>
      <c r="B153" t="s">
        <v>13</v>
      </c>
      <c r="C153" t="s">
        <v>14</v>
      </c>
      <c r="D153" s="5">
        <v>8765</v>
      </c>
      <c r="E153" s="6">
        <v>44814</v>
      </c>
      <c r="F153" t="s">
        <v>12</v>
      </c>
      <c r="G153" s="6">
        <v>43106</v>
      </c>
      <c r="H153" s="7">
        <f t="shared" si="2"/>
        <v>876.5</v>
      </c>
    </row>
    <row r="154" spans="1:8" x14ac:dyDescent="0.25">
      <c r="A154">
        <v>153</v>
      </c>
      <c r="B154" t="s">
        <v>13</v>
      </c>
      <c r="C154" t="s">
        <v>16</v>
      </c>
      <c r="D154" s="5">
        <v>5583</v>
      </c>
      <c r="E154" s="6">
        <v>44790</v>
      </c>
      <c r="F154" t="s">
        <v>10</v>
      </c>
      <c r="G154" s="6">
        <v>44651</v>
      </c>
      <c r="H154" s="7">
        <f t="shared" si="2"/>
        <v>558.30000000000007</v>
      </c>
    </row>
    <row r="155" spans="1:8" x14ac:dyDescent="0.25">
      <c r="A155">
        <v>154</v>
      </c>
      <c r="B155" t="s">
        <v>11</v>
      </c>
      <c r="C155" t="s">
        <v>25</v>
      </c>
      <c r="D155" s="5">
        <v>4390</v>
      </c>
      <c r="E155" s="6">
        <v>44263</v>
      </c>
      <c r="F155" t="s">
        <v>22</v>
      </c>
      <c r="G155" s="6">
        <v>43341</v>
      </c>
      <c r="H155" s="7">
        <f t="shared" si="2"/>
        <v>0</v>
      </c>
    </row>
    <row r="156" spans="1:8" x14ac:dyDescent="0.25">
      <c r="A156">
        <v>155</v>
      </c>
      <c r="B156" t="s">
        <v>11</v>
      </c>
      <c r="C156" t="s">
        <v>14</v>
      </c>
      <c r="D156" s="5">
        <v>352</v>
      </c>
      <c r="E156" s="6">
        <v>44524</v>
      </c>
      <c r="F156" t="s">
        <v>17</v>
      </c>
      <c r="G156" s="6">
        <v>44364</v>
      </c>
      <c r="H156" s="7">
        <f t="shared" si="2"/>
        <v>0</v>
      </c>
    </row>
    <row r="157" spans="1:8" x14ac:dyDescent="0.25">
      <c r="A157">
        <v>156</v>
      </c>
      <c r="B157" t="s">
        <v>23</v>
      </c>
      <c r="C157" t="s">
        <v>9</v>
      </c>
      <c r="D157" s="5">
        <v>8489</v>
      </c>
      <c r="E157" s="6">
        <v>45246</v>
      </c>
      <c r="F157" t="s">
        <v>10</v>
      </c>
      <c r="G157" s="6">
        <v>43497</v>
      </c>
      <c r="H157" s="7">
        <f t="shared" si="2"/>
        <v>848.90000000000009</v>
      </c>
    </row>
    <row r="158" spans="1:8" x14ac:dyDescent="0.25">
      <c r="A158">
        <v>157</v>
      </c>
      <c r="B158" t="s">
        <v>13</v>
      </c>
      <c r="C158" t="s">
        <v>14</v>
      </c>
      <c r="D158" s="5">
        <v>7090</v>
      </c>
      <c r="E158" s="6">
        <v>44173</v>
      </c>
      <c r="F158" t="s">
        <v>24</v>
      </c>
      <c r="G158" s="6">
        <v>43584</v>
      </c>
      <c r="H158" s="7">
        <f t="shared" si="2"/>
        <v>709</v>
      </c>
    </row>
    <row r="159" spans="1:8" x14ac:dyDescent="0.25">
      <c r="A159">
        <v>158</v>
      </c>
      <c r="B159" t="s">
        <v>13</v>
      </c>
      <c r="C159" t="s">
        <v>16</v>
      </c>
      <c r="D159" s="5">
        <v>7880</v>
      </c>
      <c r="E159" s="6">
        <v>45031</v>
      </c>
      <c r="F159" t="s">
        <v>10</v>
      </c>
      <c r="G159" s="6">
        <v>44622</v>
      </c>
      <c r="H159" s="7">
        <f t="shared" si="2"/>
        <v>788</v>
      </c>
    </row>
    <row r="160" spans="1:8" x14ac:dyDescent="0.25">
      <c r="A160">
        <v>159</v>
      </c>
      <c r="B160" t="s">
        <v>20</v>
      </c>
      <c r="C160" t="s">
        <v>25</v>
      </c>
      <c r="D160" s="5">
        <v>3861</v>
      </c>
      <c r="E160" s="6">
        <v>44168</v>
      </c>
      <c r="F160" t="s">
        <v>10</v>
      </c>
      <c r="G160" s="6">
        <v>44118</v>
      </c>
      <c r="H160" s="7">
        <f t="shared" si="2"/>
        <v>0</v>
      </c>
    </row>
    <row r="161" spans="1:8" x14ac:dyDescent="0.25">
      <c r="A161">
        <v>160</v>
      </c>
      <c r="B161" t="s">
        <v>11</v>
      </c>
      <c r="C161" t="s">
        <v>14</v>
      </c>
      <c r="D161" s="5">
        <v>7927</v>
      </c>
      <c r="E161" s="6">
        <v>45177</v>
      </c>
      <c r="F161" t="s">
        <v>19</v>
      </c>
      <c r="G161" s="6">
        <v>44928</v>
      </c>
      <c r="H161" s="7">
        <f t="shared" si="2"/>
        <v>792.7</v>
      </c>
    </row>
    <row r="162" spans="1:8" x14ac:dyDescent="0.25">
      <c r="A162">
        <v>161</v>
      </c>
      <c r="B162" t="s">
        <v>13</v>
      </c>
      <c r="C162" t="s">
        <v>9</v>
      </c>
      <c r="D162" s="5">
        <v>6162</v>
      </c>
      <c r="E162" s="6">
        <v>44153</v>
      </c>
      <c r="F162" t="s">
        <v>10</v>
      </c>
      <c r="G162" s="6">
        <v>45007</v>
      </c>
      <c r="H162" s="7">
        <f t="shared" si="2"/>
        <v>616.20000000000005</v>
      </c>
    </row>
    <row r="163" spans="1:8" x14ac:dyDescent="0.25">
      <c r="A163">
        <v>162</v>
      </c>
      <c r="B163" t="s">
        <v>26</v>
      </c>
      <c r="C163" t="s">
        <v>9</v>
      </c>
      <c r="D163" s="5">
        <v>5523</v>
      </c>
      <c r="E163" s="6">
        <v>43964</v>
      </c>
      <c r="F163" t="s">
        <v>21</v>
      </c>
      <c r="G163" s="6">
        <v>43352</v>
      </c>
      <c r="H163" s="7">
        <f t="shared" si="2"/>
        <v>552.30000000000007</v>
      </c>
    </row>
    <row r="164" spans="1:8" x14ac:dyDescent="0.25">
      <c r="A164">
        <v>163</v>
      </c>
      <c r="B164" t="s">
        <v>11</v>
      </c>
      <c r="C164" t="s">
        <v>9</v>
      </c>
      <c r="D164" s="5">
        <v>5936</v>
      </c>
      <c r="E164" s="6">
        <v>44295</v>
      </c>
      <c r="F164" t="s">
        <v>12</v>
      </c>
      <c r="G164" s="6">
        <v>44247</v>
      </c>
      <c r="H164" s="7">
        <f t="shared" si="2"/>
        <v>593.6</v>
      </c>
    </row>
    <row r="165" spans="1:8" x14ac:dyDescent="0.25">
      <c r="A165">
        <v>164</v>
      </c>
      <c r="B165" t="s">
        <v>8</v>
      </c>
      <c r="C165" t="s">
        <v>14</v>
      </c>
      <c r="D165" s="5">
        <v>7251</v>
      </c>
      <c r="E165" s="6">
        <v>43944</v>
      </c>
      <c r="F165" t="s">
        <v>19</v>
      </c>
      <c r="G165" s="6">
        <v>43161</v>
      </c>
      <c r="H165" s="7">
        <f t="shared" si="2"/>
        <v>725.1</v>
      </c>
    </row>
    <row r="166" spans="1:8" x14ac:dyDescent="0.25">
      <c r="A166">
        <v>165</v>
      </c>
      <c r="B166" t="s">
        <v>20</v>
      </c>
      <c r="C166" t="s">
        <v>16</v>
      </c>
      <c r="D166" s="5">
        <v>6187</v>
      </c>
      <c r="E166" s="6">
        <v>45207</v>
      </c>
      <c r="F166" t="s">
        <v>21</v>
      </c>
      <c r="G166" s="6">
        <v>43648</v>
      </c>
      <c r="H166" s="7">
        <f t="shared" si="2"/>
        <v>618.70000000000005</v>
      </c>
    </row>
    <row r="167" spans="1:8" x14ac:dyDescent="0.25">
      <c r="A167">
        <v>166</v>
      </c>
      <c r="B167" t="s">
        <v>13</v>
      </c>
      <c r="C167" t="s">
        <v>25</v>
      </c>
      <c r="D167" s="5">
        <v>3210</v>
      </c>
      <c r="E167" s="6">
        <v>45221</v>
      </c>
      <c r="F167" t="s">
        <v>19</v>
      </c>
      <c r="G167" s="6">
        <v>43724</v>
      </c>
      <c r="H167" s="7">
        <f t="shared" si="2"/>
        <v>0</v>
      </c>
    </row>
    <row r="168" spans="1:8" x14ac:dyDescent="0.25">
      <c r="A168">
        <v>167</v>
      </c>
      <c r="B168" t="s">
        <v>8</v>
      </c>
      <c r="C168" t="s">
        <v>14</v>
      </c>
      <c r="D168" s="5">
        <v>682</v>
      </c>
      <c r="E168" s="6">
        <v>44399</v>
      </c>
      <c r="F168" t="s">
        <v>19</v>
      </c>
      <c r="G168" s="6">
        <v>44608</v>
      </c>
      <c r="H168" s="7">
        <f t="shared" si="2"/>
        <v>0</v>
      </c>
    </row>
    <row r="169" spans="1:8" x14ac:dyDescent="0.25">
      <c r="A169">
        <v>168</v>
      </c>
      <c r="B169" t="s">
        <v>13</v>
      </c>
      <c r="C169" t="s">
        <v>9</v>
      </c>
      <c r="D169" s="5">
        <v>793</v>
      </c>
      <c r="E169" s="6">
        <v>44196</v>
      </c>
      <c r="F169" t="s">
        <v>21</v>
      </c>
      <c r="G169" s="6">
        <v>44905</v>
      </c>
      <c r="H169" s="7">
        <f t="shared" si="2"/>
        <v>0</v>
      </c>
    </row>
    <row r="170" spans="1:8" x14ac:dyDescent="0.25">
      <c r="A170">
        <v>169</v>
      </c>
      <c r="B170" t="s">
        <v>8</v>
      </c>
      <c r="C170" t="s">
        <v>14</v>
      </c>
      <c r="D170" s="5">
        <v>5346</v>
      </c>
      <c r="E170" s="6">
        <v>44513</v>
      </c>
      <c r="F170" t="s">
        <v>19</v>
      </c>
      <c r="G170" s="6">
        <v>44630</v>
      </c>
      <c r="H170" s="7">
        <f t="shared" si="2"/>
        <v>534.6</v>
      </c>
    </row>
    <row r="171" spans="1:8" x14ac:dyDescent="0.25">
      <c r="A171">
        <v>170</v>
      </c>
      <c r="B171" t="s">
        <v>13</v>
      </c>
      <c r="C171" t="s">
        <v>16</v>
      </c>
      <c r="D171" s="5">
        <v>7103</v>
      </c>
      <c r="E171" s="6">
        <v>43868</v>
      </c>
      <c r="F171" t="s">
        <v>22</v>
      </c>
      <c r="G171" s="6">
        <v>45186</v>
      </c>
      <c r="H171" s="7">
        <f t="shared" si="2"/>
        <v>710.30000000000007</v>
      </c>
    </row>
    <row r="172" spans="1:8" x14ac:dyDescent="0.25">
      <c r="A172">
        <v>171</v>
      </c>
      <c r="B172" t="s">
        <v>8</v>
      </c>
      <c r="C172" t="s">
        <v>25</v>
      </c>
      <c r="D172" s="5">
        <v>4603</v>
      </c>
      <c r="E172" s="6">
        <v>44234</v>
      </c>
      <c r="F172" t="s">
        <v>10</v>
      </c>
      <c r="G172" s="6">
        <v>45284</v>
      </c>
      <c r="H172" s="7">
        <f t="shared" si="2"/>
        <v>0</v>
      </c>
    </row>
    <row r="173" spans="1:8" x14ac:dyDescent="0.25">
      <c r="A173">
        <v>172</v>
      </c>
      <c r="B173" t="s">
        <v>23</v>
      </c>
      <c r="C173" t="s">
        <v>14</v>
      </c>
      <c r="D173" s="5">
        <v>8160</v>
      </c>
      <c r="E173" s="6">
        <v>44621</v>
      </c>
      <c r="F173" t="s">
        <v>24</v>
      </c>
      <c r="G173" s="6">
        <v>45204</v>
      </c>
      <c r="H173" s="7">
        <f t="shared" si="2"/>
        <v>816</v>
      </c>
    </row>
    <row r="174" spans="1:8" x14ac:dyDescent="0.25">
      <c r="A174">
        <v>173</v>
      </c>
      <c r="B174" t="s">
        <v>23</v>
      </c>
      <c r="C174" t="s">
        <v>9</v>
      </c>
      <c r="D174" s="5">
        <v>7171</v>
      </c>
      <c r="E174" s="6">
        <v>45236</v>
      </c>
      <c r="F174" t="s">
        <v>12</v>
      </c>
      <c r="G174" s="6">
        <v>43696</v>
      </c>
      <c r="H174" s="7">
        <f t="shared" si="2"/>
        <v>717.1</v>
      </c>
    </row>
    <row r="175" spans="1:8" x14ac:dyDescent="0.25">
      <c r="A175">
        <v>174</v>
      </c>
      <c r="B175" t="s">
        <v>13</v>
      </c>
      <c r="C175" t="s">
        <v>9</v>
      </c>
      <c r="D175" s="5">
        <v>3552</v>
      </c>
      <c r="E175" s="6">
        <v>44540</v>
      </c>
      <c r="F175" t="s">
        <v>22</v>
      </c>
      <c r="G175" s="6">
        <v>45199</v>
      </c>
      <c r="H175" s="7">
        <f t="shared" si="2"/>
        <v>0</v>
      </c>
    </row>
    <row r="176" spans="1:8" x14ac:dyDescent="0.25">
      <c r="A176">
        <v>175</v>
      </c>
      <c r="B176" t="s">
        <v>13</v>
      </c>
      <c r="C176" t="s">
        <v>9</v>
      </c>
      <c r="D176" s="5">
        <v>7273</v>
      </c>
      <c r="E176" s="6">
        <v>44486</v>
      </c>
      <c r="F176" t="s">
        <v>21</v>
      </c>
      <c r="G176" s="6">
        <v>43788</v>
      </c>
      <c r="H176" s="7">
        <f t="shared" si="2"/>
        <v>727.30000000000007</v>
      </c>
    </row>
    <row r="177" spans="1:8" x14ac:dyDescent="0.25">
      <c r="A177">
        <v>176</v>
      </c>
      <c r="B177" t="s">
        <v>13</v>
      </c>
      <c r="C177" t="s">
        <v>14</v>
      </c>
      <c r="D177" s="5">
        <v>2402</v>
      </c>
      <c r="E177" s="6">
        <v>44426</v>
      </c>
      <c r="F177" t="s">
        <v>19</v>
      </c>
      <c r="G177" s="6">
        <v>44204</v>
      </c>
      <c r="H177" s="7">
        <f t="shared" si="2"/>
        <v>0</v>
      </c>
    </row>
    <row r="178" spans="1:8" x14ac:dyDescent="0.25">
      <c r="A178">
        <v>177</v>
      </c>
      <c r="B178" t="s">
        <v>13</v>
      </c>
      <c r="C178" t="s">
        <v>16</v>
      </c>
      <c r="D178" s="5">
        <v>1197</v>
      </c>
      <c r="E178" s="6">
        <v>44282</v>
      </c>
      <c r="F178" t="s">
        <v>21</v>
      </c>
      <c r="G178" s="6">
        <v>44139</v>
      </c>
      <c r="H178" s="7">
        <f t="shared" si="2"/>
        <v>0</v>
      </c>
    </row>
    <row r="179" spans="1:8" x14ac:dyDescent="0.25">
      <c r="A179">
        <v>178</v>
      </c>
      <c r="B179" t="s">
        <v>18</v>
      </c>
      <c r="C179" t="s">
        <v>25</v>
      </c>
      <c r="D179" s="5">
        <v>5015</v>
      </c>
      <c r="E179" s="6">
        <v>44605</v>
      </c>
      <c r="F179" t="s">
        <v>21</v>
      </c>
      <c r="G179" s="6">
        <v>45186</v>
      </c>
      <c r="H179" s="7">
        <f t="shared" si="2"/>
        <v>501.5</v>
      </c>
    </row>
    <row r="180" spans="1:8" x14ac:dyDescent="0.25">
      <c r="A180">
        <v>179</v>
      </c>
      <c r="B180" t="s">
        <v>20</v>
      </c>
      <c r="C180" t="s">
        <v>14</v>
      </c>
      <c r="D180" s="5">
        <v>5818</v>
      </c>
      <c r="E180" s="6">
        <v>44166</v>
      </c>
      <c r="F180" t="s">
        <v>10</v>
      </c>
      <c r="G180" s="6">
        <v>43926</v>
      </c>
      <c r="H180" s="7">
        <f t="shared" si="2"/>
        <v>581.80000000000007</v>
      </c>
    </row>
    <row r="181" spans="1:8" x14ac:dyDescent="0.25">
      <c r="A181">
        <v>180</v>
      </c>
      <c r="B181" t="s">
        <v>13</v>
      </c>
      <c r="C181" t="s">
        <v>9</v>
      </c>
      <c r="D181" s="5">
        <v>4399</v>
      </c>
      <c r="E181" s="6">
        <v>44154</v>
      </c>
      <c r="F181" t="s">
        <v>12</v>
      </c>
      <c r="G181" s="6">
        <v>43574</v>
      </c>
      <c r="H181" s="7">
        <f t="shared" si="2"/>
        <v>0</v>
      </c>
    </row>
    <row r="182" spans="1:8" x14ac:dyDescent="0.25">
      <c r="A182">
        <v>181</v>
      </c>
      <c r="B182" t="s">
        <v>8</v>
      </c>
      <c r="C182" t="s">
        <v>14</v>
      </c>
      <c r="D182" s="5">
        <v>3011</v>
      </c>
      <c r="E182" s="6">
        <v>43832</v>
      </c>
      <c r="F182" t="s">
        <v>10</v>
      </c>
      <c r="G182" s="6">
        <v>44088</v>
      </c>
      <c r="H182" s="7">
        <f t="shared" si="2"/>
        <v>0</v>
      </c>
    </row>
    <row r="183" spans="1:8" x14ac:dyDescent="0.25">
      <c r="A183">
        <v>182</v>
      </c>
      <c r="B183" t="s">
        <v>23</v>
      </c>
      <c r="C183" t="s">
        <v>16</v>
      </c>
      <c r="D183" s="5">
        <v>4715</v>
      </c>
      <c r="E183" s="6">
        <v>44357</v>
      </c>
      <c r="F183" t="s">
        <v>12</v>
      </c>
      <c r="G183" s="6">
        <v>44983</v>
      </c>
      <c r="H183" s="7">
        <f t="shared" si="2"/>
        <v>0</v>
      </c>
    </row>
    <row r="184" spans="1:8" x14ac:dyDescent="0.25">
      <c r="A184">
        <v>183</v>
      </c>
      <c r="B184" t="s">
        <v>23</v>
      </c>
      <c r="C184" t="s">
        <v>25</v>
      </c>
      <c r="D184" s="5">
        <v>5321</v>
      </c>
      <c r="E184" s="6">
        <v>45186</v>
      </c>
      <c r="F184" t="s">
        <v>24</v>
      </c>
      <c r="G184" s="6">
        <v>43868</v>
      </c>
      <c r="H184" s="7">
        <f t="shared" si="2"/>
        <v>532.1</v>
      </c>
    </row>
    <row r="185" spans="1:8" x14ac:dyDescent="0.25">
      <c r="A185">
        <v>184</v>
      </c>
      <c r="B185" t="s">
        <v>13</v>
      </c>
      <c r="C185" t="s">
        <v>14</v>
      </c>
      <c r="D185" s="5">
        <v>8894</v>
      </c>
      <c r="E185" s="6">
        <v>44566</v>
      </c>
      <c r="F185" t="s">
        <v>10</v>
      </c>
      <c r="G185" s="6">
        <v>44845</v>
      </c>
      <c r="H185" s="7">
        <f t="shared" si="2"/>
        <v>889.40000000000009</v>
      </c>
    </row>
    <row r="186" spans="1:8" x14ac:dyDescent="0.25">
      <c r="A186">
        <v>185</v>
      </c>
      <c r="B186" t="s">
        <v>8</v>
      </c>
      <c r="C186" t="s">
        <v>9</v>
      </c>
      <c r="D186" s="5">
        <v>4846</v>
      </c>
      <c r="E186" s="6">
        <v>43857</v>
      </c>
      <c r="F186" t="s">
        <v>12</v>
      </c>
      <c r="G186" s="6">
        <v>44916</v>
      </c>
      <c r="H186" s="7">
        <f t="shared" si="2"/>
        <v>0</v>
      </c>
    </row>
    <row r="187" spans="1:8" x14ac:dyDescent="0.25">
      <c r="A187">
        <v>186</v>
      </c>
      <c r="B187" t="s">
        <v>11</v>
      </c>
      <c r="C187" t="s">
        <v>9</v>
      </c>
      <c r="D187" s="5">
        <v>284</v>
      </c>
      <c r="E187" s="6">
        <v>45195</v>
      </c>
      <c r="F187" t="s">
        <v>19</v>
      </c>
      <c r="G187" s="6">
        <v>43942</v>
      </c>
      <c r="H187" s="7">
        <f t="shared" si="2"/>
        <v>0</v>
      </c>
    </row>
    <row r="188" spans="1:8" x14ac:dyDescent="0.25">
      <c r="A188">
        <v>187</v>
      </c>
      <c r="B188" t="s">
        <v>20</v>
      </c>
      <c r="C188" t="s">
        <v>9</v>
      </c>
      <c r="D188" s="5">
        <v>8283</v>
      </c>
      <c r="E188" s="6">
        <v>44224</v>
      </c>
      <c r="F188" t="s">
        <v>12</v>
      </c>
      <c r="G188" s="6">
        <v>44765</v>
      </c>
      <c r="H188" s="7">
        <f t="shared" si="2"/>
        <v>828.30000000000007</v>
      </c>
    </row>
    <row r="189" spans="1:8" x14ac:dyDescent="0.25">
      <c r="A189">
        <v>188</v>
      </c>
      <c r="B189" t="s">
        <v>20</v>
      </c>
      <c r="C189" t="s">
        <v>14</v>
      </c>
      <c r="D189" s="5">
        <v>9990</v>
      </c>
      <c r="E189" s="6">
        <v>45269</v>
      </c>
      <c r="F189" t="s">
        <v>17</v>
      </c>
      <c r="G189" s="6">
        <v>43283</v>
      </c>
      <c r="H189" s="7">
        <f t="shared" si="2"/>
        <v>999</v>
      </c>
    </row>
    <row r="190" spans="1:8" x14ac:dyDescent="0.25">
      <c r="A190">
        <v>189</v>
      </c>
      <c r="B190" t="s">
        <v>13</v>
      </c>
      <c r="C190" t="s">
        <v>16</v>
      </c>
      <c r="D190" s="5">
        <v>9014</v>
      </c>
      <c r="E190" s="6">
        <v>45049</v>
      </c>
      <c r="F190" t="s">
        <v>21</v>
      </c>
      <c r="G190" s="6">
        <v>44729</v>
      </c>
      <c r="H190" s="7">
        <f t="shared" si="2"/>
        <v>901.40000000000009</v>
      </c>
    </row>
    <row r="191" spans="1:8" x14ac:dyDescent="0.25">
      <c r="A191">
        <v>190</v>
      </c>
      <c r="B191" t="s">
        <v>23</v>
      </c>
      <c r="C191" t="s">
        <v>25</v>
      </c>
      <c r="D191" s="5">
        <v>1942</v>
      </c>
      <c r="E191" s="6">
        <v>43891</v>
      </c>
      <c r="F191" t="s">
        <v>24</v>
      </c>
      <c r="G191" s="6">
        <v>43477</v>
      </c>
      <c r="H191" s="7">
        <f t="shared" si="2"/>
        <v>0</v>
      </c>
    </row>
    <row r="192" spans="1:8" x14ac:dyDescent="0.25">
      <c r="A192">
        <v>191</v>
      </c>
      <c r="B192" t="s">
        <v>13</v>
      </c>
      <c r="C192" t="s">
        <v>14</v>
      </c>
      <c r="D192" s="5">
        <v>7223</v>
      </c>
      <c r="E192" s="6">
        <v>44552</v>
      </c>
      <c r="F192" t="s">
        <v>10</v>
      </c>
      <c r="G192" s="6">
        <v>43408</v>
      </c>
      <c r="H192" s="7">
        <f t="shared" si="2"/>
        <v>722.30000000000007</v>
      </c>
    </row>
    <row r="193" spans="1:8" x14ac:dyDescent="0.25">
      <c r="A193">
        <v>192</v>
      </c>
      <c r="B193" t="s">
        <v>8</v>
      </c>
      <c r="C193" t="s">
        <v>9</v>
      </c>
      <c r="D193" s="5">
        <v>4673</v>
      </c>
      <c r="E193" s="6">
        <v>44682</v>
      </c>
      <c r="F193" t="s">
        <v>10</v>
      </c>
      <c r="G193" s="6">
        <v>45168</v>
      </c>
      <c r="H193" s="7">
        <f t="shared" si="2"/>
        <v>0</v>
      </c>
    </row>
    <row r="194" spans="1:8" x14ac:dyDescent="0.25">
      <c r="A194">
        <v>193</v>
      </c>
      <c r="B194" t="s">
        <v>8</v>
      </c>
      <c r="C194" t="s">
        <v>14</v>
      </c>
      <c r="D194" s="5">
        <v>9104</v>
      </c>
      <c r="E194" s="6">
        <v>43887</v>
      </c>
      <c r="F194" t="s">
        <v>24</v>
      </c>
      <c r="G194" s="6">
        <v>43819</v>
      </c>
      <c r="H194" s="7">
        <f t="shared" si="2"/>
        <v>910.40000000000009</v>
      </c>
    </row>
    <row r="195" spans="1:8" x14ac:dyDescent="0.25">
      <c r="A195">
        <v>194</v>
      </c>
      <c r="B195" t="s">
        <v>23</v>
      </c>
      <c r="C195" t="s">
        <v>16</v>
      </c>
      <c r="D195" s="5">
        <v>6078</v>
      </c>
      <c r="E195" s="6">
        <v>45076</v>
      </c>
      <c r="F195" t="s">
        <v>10</v>
      </c>
      <c r="G195" s="6">
        <v>43702</v>
      </c>
      <c r="H195" s="7">
        <f t="shared" ref="H195:H258" si="3">IF(D195&lt;5000,0,IF(D195&lt;20000,D195*10%,IF(D195&lt;=30000,D195*15%,IF(D195&gt;=45000,D195*20%,0))))</f>
        <v>607.80000000000007</v>
      </c>
    </row>
    <row r="196" spans="1:8" x14ac:dyDescent="0.25">
      <c r="A196">
        <v>195</v>
      </c>
      <c r="B196" t="s">
        <v>18</v>
      </c>
      <c r="C196" t="s">
        <v>25</v>
      </c>
      <c r="D196" s="5">
        <v>3278</v>
      </c>
      <c r="E196" s="6">
        <v>44117</v>
      </c>
      <c r="F196" t="s">
        <v>19</v>
      </c>
      <c r="G196" s="6">
        <v>43578</v>
      </c>
      <c r="H196" s="7">
        <f t="shared" si="3"/>
        <v>0</v>
      </c>
    </row>
    <row r="197" spans="1:8" x14ac:dyDescent="0.25">
      <c r="A197">
        <v>196</v>
      </c>
      <c r="B197" t="s">
        <v>13</v>
      </c>
      <c r="C197" t="s">
        <v>14</v>
      </c>
      <c r="D197" s="5">
        <v>136</v>
      </c>
      <c r="E197" s="6">
        <v>44094</v>
      </c>
      <c r="F197" t="s">
        <v>17</v>
      </c>
      <c r="G197" s="6">
        <v>44540</v>
      </c>
      <c r="H197" s="7">
        <f t="shared" si="3"/>
        <v>0</v>
      </c>
    </row>
    <row r="198" spans="1:8" x14ac:dyDescent="0.25">
      <c r="A198">
        <v>197</v>
      </c>
      <c r="B198" t="s">
        <v>13</v>
      </c>
      <c r="C198" t="s">
        <v>9</v>
      </c>
      <c r="D198" s="5">
        <v>8377</v>
      </c>
      <c r="E198" s="6">
        <v>45193</v>
      </c>
      <c r="F198" t="s">
        <v>21</v>
      </c>
      <c r="G198" s="6">
        <v>43746</v>
      </c>
      <c r="H198" s="7">
        <f t="shared" si="3"/>
        <v>837.7</v>
      </c>
    </row>
    <row r="199" spans="1:8" x14ac:dyDescent="0.25">
      <c r="A199">
        <v>198</v>
      </c>
      <c r="B199" t="s">
        <v>13</v>
      </c>
      <c r="C199" t="s">
        <v>9</v>
      </c>
      <c r="D199" s="5">
        <v>2382</v>
      </c>
      <c r="E199" s="6">
        <v>44137</v>
      </c>
      <c r="F199" t="s">
        <v>10</v>
      </c>
      <c r="G199" s="6">
        <v>44713</v>
      </c>
      <c r="H199" s="7">
        <f t="shared" si="3"/>
        <v>0</v>
      </c>
    </row>
    <row r="200" spans="1:8" x14ac:dyDescent="0.25">
      <c r="A200">
        <v>199</v>
      </c>
      <c r="B200" t="s">
        <v>13</v>
      </c>
      <c r="C200" t="s">
        <v>9</v>
      </c>
      <c r="D200" s="5">
        <v>8702</v>
      </c>
      <c r="E200" s="6">
        <v>45238</v>
      </c>
      <c r="F200" t="s">
        <v>19</v>
      </c>
      <c r="G200" s="6">
        <v>44618</v>
      </c>
      <c r="H200" s="7">
        <f t="shared" si="3"/>
        <v>870.2</v>
      </c>
    </row>
    <row r="201" spans="1:8" x14ac:dyDescent="0.25">
      <c r="A201">
        <v>200</v>
      </c>
      <c r="B201" t="s">
        <v>13</v>
      </c>
      <c r="C201" t="s">
        <v>14</v>
      </c>
      <c r="D201" s="5">
        <v>5021</v>
      </c>
      <c r="E201" s="6">
        <v>44462</v>
      </c>
      <c r="F201" t="s">
        <v>10</v>
      </c>
      <c r="G201" s="6">
        <v>44741</v>
      </c>
      <c r="H201" s="7">
        <f t="shared" si="3"/>
        <v>502.1</v>
      </c>
    </row>
    <row r="202" spans="1:8" x14ac:dyDescent="0.25">
      <c r="A202">
        <v>201</v>
      </c>
      <c r="B202" t="s">
        <v>23</v>
      </c>
      <c r="C202" t="s">
        <v>16</v>
      </c>
      <c r="D202" s="5">
        <v>1760</v>
      </c>
      <c r="E202" s="6">
        <v>44168</v>
      </c>
      <c r="F202" t="s">
        <v>21</v>
      </c>
      <c r="G202" s="6">
        <v>44473</v>
      </c>
      <c r="H202" s="7">
        <f t="shared" si="3"/>
        <v>0</v>
      </c>
    </row>
    <row r="203" spans="1:8" x14ac:dyDescent="0.25">
      <c r="A203">
        <v>202</v>
      </c>
      <c r="B203" t="s">
        <v>13</v>
      </c>
      <c r="C203" t="s">
        <v>25</v>
      </c>
      <c r="D203" s="5">
        <v>4766</v>
      </c>
      <c r="E203" s="6">
        <v>44678</v>
      </c>
      <c r="F203" t="s">
        <v>19</v>
      </c>
      <c r="G203" s="6">
        <v>43938</v>
      </c>
      <c r="H203" s="7">
        <f t="shared" si="3"/>
        <v>0</v>
      </c>
    </row>
    <row r="204" spans="1:8" x14ac:dyDescent="0.25">
      <c r="A204">
        <v>203</v>
      </c>
      <c r="B204" t="s">
        <v>18</v>
      </c>
      <c r="C204" t="s">
        <v>14</v>
      </c>
      <c r="D204" s="5">
        <v>1541</v>
      </c>
      <c r="E204" s="6">
        <v>44245</v>
      </c>
      <c r="F204" t="s">
        <v>12</v>
      </c>
      <c r="G204" s="6">
        <v>44018</v>
      </c>
      <c r="H204" s="7">
        <f t="shared" si="3"/>
        <v>0</v>
      </c>
    </row>
    <row r="205" spans="1:8" x14ac:dyDescent="0.25">
      <c r="A205">
        <v>204</v>
      </c>
      <c r="B205" t="s">
        <v>20</v>
      </c>
      <c r="C205" t="s">
        <v>9</v>
      </c>
      <c r="D205" s="5">
        <v>2782</v>
      </c>
      <c r="E205" s="6">
        <v>44965</v>
      </c>
      <c r="F205" t="s">
        <v>12</v>
      </c>
      <c r="G205" s="6">
        <v>45242</v>
      </c>
      <c r="H205" s="7">
        <f t="shared" si="3"/>
        <v>0</v>
      </c>
    </row>
    <row r="206" spans="1:8" x14ac:dyDescent="0.25">
      <c r="A206">
        <v>205</v>
      </c>
      <c r="B206" t="s">
        <v>23</v>
      </c>
      <c r="C206" t="s">
        <v>14</v>
      </c>
      <c r="D206" s="5">
        <v>2455</v>
      </c>
      <c r="E206" s="6">
        <v>44534</v>
      </c>
      <c r="F206" t="s">
        <v>17</v>
      </c>
      <c r="G206" s="6">
        <v>44453</v>
      </c>
      <c r="H206" s="7">
        <f t="shared" si="3"/>
        <v>0</v>
      </c>
    </row>
    <row r="207" spans="1:8" x14ac:dyDescent="0.25">
      <c r="A207">
        <v>206</v>
      </c>
      <c r="B207" t="s">
        <v>23</v>
      </c>
      <c r="C207" t="s">
        <v>16</v>
      </c>
      <c r="D207" s="5">
        <v>4512</v>
      </c>
      <c r="E207" s="6">
        <v>44670</v>
      </c>
      <c r="F207" t="s">
        <v>22</v>
      </c>
      <c r="G207" s="6">
        <v>43332</v>
      </c>
      <c r="H207" s="7">
        <f t="shared" si="3"/>
        <v>0</v>
      </c>
    </row>
    <row r="208" spans="1:8" x14ac:dyDescent="0.25">
      <c r="A208">
        <v>207</v>
      </c>
      <c r="B208" t="s">
        <v>23</v>
      </c>
      <c r="C208" t="s">
        <v>25</v>
      </c>
      <c r="D208" s="5">
        <v>8752</v>
      </c>
      <c r="E208" s="6">
        <v>44553</v>
      </c>
      <c r="F208" t="s">
        <v>19</v>
      </c>
      <c r="G208" s="6">
        <v>43852</v>
      </c>
      <c r="H208" s="7">
        <f t="shared" si="3"/>
        <v>875.2</v>
      </c>
    </row>
    <row r="209" spans="1:8" x14ac:dyDescent="0.25">
      <c r="A209">
        <v>208</v>
      </c>
      <c r="B209" t="s">
        <v>8</v>
      </c>
      <c r="C209" t="s">
        <v>14</v>
      </c>
      <c r="D209" s="5">
        <v>9127</v>
      </c>
      <c r="E209" s="6">
        <v>44613</v>
      </c>
      <c r="F209" t="s">
        <v>10</v>
      </c>
      <c r="G209" s="6">
        <v>44350</v>
      </c>
      <c r="H209" s="7">
        <f t="shared" si="3"/>
        <v>912.7</v>
      </c>
    </row>
    <row r="210" spans="1:8" x14ac:dyDescent="0.25">
      <c r="A210">
        <v>209</v>
      </c>
      <c r="B210" t="s">
        <v>23</v>
      </c>
      <c r="C210" t="s">
        <v>9</v>
      </c>
      <c r="D210" s="5">
        <v>1777</v>
      </c>
      <c r="E210" s="6">
        <v>43887</v>
      </c>
      <c r="F210" t="s">
        <v>24</v>
      </c>
      <c r="G210" s="6">
        <v>44097</v>
      </c>
      <c r="H210" s="7">
        <f t="shared" si="3"/>
        <v>0</v>
      </c>
    </row>
    <row r="211" spans="1:8" x14ac:dyDescent="0.25">
      <c r="A211">
        <v>210</v>
      </c>
      <c r="B211" t="s">
        <v>18</v>
      </c>
      <c r="C211" t="s">
        <v>9</v>
      </c>
      <c r="D211" s="5">
        <v>680</v>
      </c>
      <c r="E211" s="6">
        <v>44908</v>
      </c>
      <c r="F211" t="s">
        <v>24</v>
      </c>
      <c r="G211" s="6">
        <v>43354</v>
      </c>
      <c r="H211" s="7">
        <f t="shared" si="3"/>
        <v>0</v>
      </c>
    </row>
    <row r="212" spans="1:8" x14ac:dyDescent="0.25">
      <c r="A212">
        <v>211</v>
      </c>
      <c r="B212" t="s">
        <v>20</v>
      </c>
      <c r="C212" t="s">
        <v>9</v>
      </c>
      <c r="D212" s="5">
        <v>958</v>
      </c>
      <c r="E212" s="6">
        <v>45092</v>
      </c>
      <c r="F212" t="s">
        <v>10</v>
      </c>
      <c r="G212" s="6">
        <v>43908</v>
      </c>
      <c r="H212" s="7">
        <f t="shared" si="3"/>
        <v>0</v>
      </c>
    </row>
    <row r="213" spans="1:8" x14ac:dyDescent="0.25">
      <c r="A213">
        <v>212</v>
      </c>
      <c r="B213" t="s">
        <v>8</v>
      </c>
      <c r="C213" t="s">
        <v>14</v>
      </c>
      <c r="D213" s="5">
        <v>2613</v>
      </c>
      <c r="E213" s="6">
        <v>44598</v>
      </c>
      <c r="F213" t="s">
        <v>21</v>
      </c>
      <c r="G213" s="6">
        <v>45229</v>
      </c>
      <c r="H213" s="7">
        <f t="shared" si="3"/>
        <v>0</v>
      </c>
    </row>
    <row r="214" spans="1:8" x14ac:dyDescent="0.25">
      <c r="A214">
        <v>213</v>
      </c>
      <c r="B214" t="s">
        <v>8</v>
      </c>
      <c r="C214" t="s">
        <v>16</v>
      </c>
      <c r="D214" s="5">
        <v>2789</v>
      </c>
      <c r="E214" s="6">
        <v>44406</v>
      </c>
      <c r="F214" t="s">
        <v>21</v>
      </c>
      <c r="G214" s="6">
        <v>44621</v>
      </c>
      <c r="H214" s="7">
        <f t="shared" si="3"/>
        <v>0</v>
      </c>
    </row>
    <row r="215" spans="1:8" x14ac:dyDescent="0.25">
      <c r="A215">
        <v>214</v>
      </c>
      <c r="B215" t="s">
        <v>23</v>
      </c>
      <c r="C215" t="s">
        <v>25</v>
      </c>
      <c r="D215" s="5">
        <v>2965</v>
      </c>
      <c r="E215" s="6">
        <v>44060</v>
      </c>
      <c r="F215" t="s">
        <v>22</v>
      </c>
      <c r="G215" s="6">
        <v>43505</v>
      </c>
      <c r="H215" s="7">
        <f t="shared" si="3"/>
        <v>0</v>
      </c>
    </row>
    <row r="216" spans="1:8" x14ac:dyDescent="0.25">
      <c r="A216">
        <v>215</v>
      </c>
      <c r="B216" t="s">
        <v>23</v>
      </c>
      <c r="C216" t="s">
        <v>14</v>
      </c>
      <c r="D216" s="5">
        <v>3141</v>
      </c>
      <c r="E216" s="6">
        <v>44624</v>
      </c>
      <c r="F216" t="s">
        <v>19</v>
      </c>
      <c r="G216" s="6">
        <v>44285</v>
      </c>
      <c r="H216" s="7">
        <f t="shared" si="3"/>
        <v>0</v>
      </c>
    </row>
    <row r="217" spans="1:8" x14ac:dyDescent="0.25">
      <c r="A217">
        <v>216</v>
      </c>
      <c r="B217" t="s">
        <v>8</v>
      </c>
      <c r="C217" t="s">
        <v>9</v>
      </c>
      <c r="D217" s="5">
        <v>3317</v>
      </c>
      <c r="E217" s="6">
        <v>44744</v>
      </c>
      <c r="F217" t="s">
        <v>10</v>
      </c>
      <c r="G217" s="6">
        <v>44787</v>
      </c>
      <c r="H217" s="7">
        <f t="shared" si="3"/>
        <v>0</v>
      </c>
    </row>
    <row r="218" spans="1:8" x14ac:dyDescent="0.25">
      <c r="A218">
        <v>217</v>
      </c>
      <c r="B218" t="s">
        <v>23</v>
      </c>
      <c r="C218" t="s">
        <v>14</v>
      </c>
      <c r="D218" s="5">
        <v>3493</v>
      </c>
      <c r="E218" s="6">
        <v>44189</v>
      </c>
      <c r="F218" t="s">
        <v>24</v>
      </c>
      <c r="G218" s="6">
        <v>43606</v>
      </c>
      <c r="H218" s="7">
        <f t="shared" si="3"/>
        <v>0</v>
      </c>
    </row>
    <row r="219" spans="1:8" x14ac:dyDescent="0.25">
      <c r="A219">
        <v>218</v>
      </c>
      <c r="B219" t="s">
        <v>18</v>
      </c>
      <c r="C219" t="s">
        <v>16</v>
      </c>
      <c r="D219" s="5">
        <v>3669</v>
      </c>
      <c r="E219" s="6">
        <v>43936</v>
      </c>
      <c r="F219" t="s">
        <v>24</v>
      </c>
      <c r="G219" s="6">
        <v>43824</v>
      </c>
      <c r="H219" s="7">
        <f t="shared" si="3"/>
        <v>0</v>
      </c>
    </row>
    <row r="220" spans="1:8" x14ac:dyDescent="0.25">
      <c r="A220">
        <v>219</v>
      </c>
      <c r="B220" t="s">
        <v>20</v>
      </c>
      <c r="C220" t="s">
        <v>25</v>
      </c>
      <c r="D220" s="5">
        <v>3845</v>
      </c>
      <c r="E220" s="6">
        <v>44491</v>
      </c>
      <c r="F220" t="s">
        <v>10</v>
      </c>
      <c r="G220" s="6">
        <v>44941</v>
      </c>
      <c r="H220" s="7">
        <f t="shared" si="3"/>
        <v>0</v>
      </c>
    </row>
    <row r="221" spans="1:8" x14ac:dyDescent="0.25">
      <c r="A221">
        <v>220</v>
      </c>
      <c r="B221" t="s">
        <v>8</v>
      </c>
      <c r="C221" t="s">
        <v>14</v>
      </c>
      <c r="D221" s="5">
        <v>4021</v>
      </c>
      <c r="E221" s="6">
        <v>45200</v>
      </c>
      <c r="F221" t="s">
        <v>21</v>
      </c>
      <c r="G221" s="6">
        <v>43962</v>
      </c>
      <c r="H221" s="7">
        <f t="shared" si="3"/>
        <v>0</v>
      </c>
    </row>
    <row r="222" spans="1:8" x14ac:dyDescent="0.25">
      <c r="A222">
        <v>221</v>
      </c>
      <c r="B222" t="s">
        <v>8</v>
      </c>
      <c r="C222" t="s">
        <v>9</v>
      </c>
      <c r="D222" s="5">
        <v>4197</v>
      </c>
      <c r="E222" s="6">
        <v>44011</v>
      </c>
      <c r="F222" t="s">
        <v>21</v>
      </c>
      <c r="G222" s="6">
        <v>43126</v>
      </c>
      <c r="H222" s="7">
        <f t="shared" si="3"/>
        <v>0</v>
      </c>
    </row>
    <row r="223" spans="1:8" x14ac:dyDescent="0.25">
      <c r="A223">
        <v>222</v>
      </c>
      <c r="B223" t="s">
        <v>23</v>
      </c>
      <c r="C223" t="s">
        <v>9</v>
      </c>
      <c r="D223" s="5">
        <v>4373</v>
      </c>
      <c r="E223" s="6">
        <v>43860</v>
      </c>
      <c r="F223" t="s">
        <v>22</v>
      </c>
      <c r="G223" s="6">
        <v>43814</v>
      </c>
      <c r="H223" s="7">
        <f t="shared" si="3"/>
        <v>0</v>
      </c>
    </row>
    <row r="224" spans="1:8" x14ac:dyDescent="0.25">
      <c r="A224">
        <v>223</v>
      </c>
      <c r="B224" t="s">
        <v>23</v>
      </c>
      <c r="C224" t="s">
        <v>9</v>
      </c>
      <c r="D224" s="5">
        <v>4549</v>
      </c>
      <c r="E224" s="6">
        <v>44441</v>
      </c>
      <c r="F224" t="s">
        <v>19</v>
      </c>
      <c r="G224" s="6">
        <v>43862</v>
      </c>
      <c r="H224" s="7">
        <f t="shared" si="3"/>
        <v>0</v>
      </c>
    </row>
    <row r="225" spans="1:8" x14ac:dyDescent="0.25">
      <c r="A225">
        <v>224</v>
      </c>
      <c r="B225" t="s">
        <v>8</v>
      </c>
      <c r="C225" t="s">
        <v>14</v>
      </c>
      <c r="D225" s="5">
        <v>4725</v>
      </c>
      <c r="E225" s="6">
        <v>45164</v>
      </c>
      <c r="F225" t="s">
        <v>10</v>
      </c>
      <c r="G225" s="6">
        <v>44227</v>
      </c>
      <c r="H225" s="7">
        <f t="shared" si="3"/>
        <v>0</v>
      </c>
    </row>
    <row r="226" spans="1:8" x14ac:dyDescent="0.25">
      <c r="A226">
        <v>225</v>
      </c>
      <c r="B226" t="s">
        <v>23</v>
      </c>
      <c r="C226" t="s">
        <v>16</v>
      </c>
      <c r="D226" s="5">
        <v>4901</v>
      </c>
      <c r="E226" s="6">
        <v>45028</v>
      </c>
      <c r="F226" t="s">
        <v>24</v>
      </c>
      <c r="G226" s="6">
        <v>43385</v>
      </c>
      <c r="H226" s="7">
        <f t="shared" si="3"/>
        <v>0</v>
      </c>
    </row>
    <row r="227" spans="1:8" x14ac:dyDescent="0.25">
      <c r="A227">
        <v>226</v>
      </c>
      <c r="B227" t="s">
        <v>18</v>
      </c>
      <c r="C227" t="s">
        <v>25</v>
      </c>
      <c r="D227" s="5">
        <v>5077</v>
      </c>
      <c r="E227" s="6">
        <v>45200</v>
      </c>
      <c r="F227" t="s">
        <v>24</v>
      </c>
      <c r="G227" s="6">
        <v>43439</v>
      </c>
      <c r="H227" s="7">
        <f t="shared" si="3"/>
        <v>507.70000000000005</v>
      </c>
    </row>
    <row r="228" spans="1:8" x14ac:dyDescent="0.25">
      <c r="A228">
        <v>227</v>
      </c>
      <c r="B228" t="s">
        <v>20</v>
      </c>
      <c r="C228" t="s">
        <v>14</v>
      </c>
      <c r="D228" s="5">
        <v>5253</v>
      </c>
      <c r="E228" s="6">
        <v>44894</v>
      </c>
      <c r="F228" t="s">
        <v>10</v>
      </c>
      <c r="G228" s="6">
        <v>44109</v>
      </c>
      <c r="H228" s="7">
        <f t="shared" si="3"/>
        <v>525.30000000000007</v>
      </c>
    </row>
    <row r="229" spans="1:8" x14ac:dyDescent="0.25">
      <c r="A229">
        <v>228</v>
      </c>
      <c r="B229" t="s">
        <v>8</v>
      </c>
      <c r="C229" t="s">
        <v>9</v>
      </c>
      <c r="D229" s="5">
        <v>5429</v>
      </c>
      <c r="E229" s="6">
        <v>43990</v>
      </c>
      <c r="F229" t="s">
        <v>21</v>
      </c>
      <c r="G229" s="6">
        <v>44438</v>
      </c>
      <c r="H229" s="7">
        <f t="shared" si="3"/>
        <v>542.9</v>
      </c>
    </row>
    <row r="230" spans="1:8" x14ac:dyDescent="0.25">
      <c r="A230">
        <v>229</v>
      </c>
      <c r="B230" t="s">
        <v>8</v>
      </c>
      <c r="C230" t="s">
        <v>14</v>
      </c>
      <c r="D230" s="5">
        <v>5605</v>
      </c>
      <c r="E230" s="6">
        <v>44031</v>
      </c>
      <c r="F230" t="s">
        <v>21</v>
      </c>
      <c r="G230" s="6">
        <v>43867</v>
      </c>
      <c r="H230" s="7">
        <f t="shared" si="3"/>
        <v>560.5</v>
      </c>
    </row>
    <row r="231" spans="1:8" x14ac:dyDescent="0.25">
      <c r="A231">
        <v>230</v>
      </c>
      <c r="B231" t="s">
        <v>23</v>
      </c>
      <c r="C231" t="s">
        <v>16</v>
      </c>
      <c r="D231" s="5">
        <v>5781</v>
      </c>
      <c r="E231" s="6">
        <v>44086</v>
      </c>
      <c r="F231" t="s">
        <v>22</v>
      </c>
      <c r="G231" s="6">
        <v>43815</v>
      </c>
      <c r="H231" s="7">
        <f t="shared" si="3"/>
        <v>578.1</v>
      </c>
    </row>
    <row r="232" spans="1:8" x14ac:dyDescent="0.25">
      <c r="A232">
        <v>231</v>
      </c>
      <c r="B232" t="s">
        <v>23</v>
      </c>
      <c r="C232" t="s">
        <v>25</v>
      </c>
      <c r="D232" s="5">
        <v>5957</v>
      </c>
      <c r="E232" s="6">
        <v>44043</v>
      </c>
      <c r="F232" t="s">
        <v>19</v>
      </c>
      <c r="G232" s="6">
        <v>43499</v>
      </c>
      <c r="H232" s="7">
        <f t="shared" si="3"/>
        <v>595.70000000000005</v>
      </c>
    </row>
    <row r="233" spans="1:8" x14ac:dyDescent="0.25">
      <c r="A233">
        <v>232</v>
      </c>
      <c r="B233" t="s">
        <v>8</v>
      </c>
      <c r="C233" t="s">
        <v>14</v>
      </c>
      <c r="D233" s="5">
        <v>6133</v>
      </c>
      <c r="E233" s="6">
        <v>44414</v>
      </c>
      <c r="F233" t="s">
        <v>10</v>
      </c>
      <c r="G233" s="6">
        <v>44468</v>
      </c>
      <c r="H233" s="7">
        <f t="shared" si="3"/>
        <v>613.30000000000007</v>
      </c>
    </row>
    <row r="234" spans="1:8" x14ac:dyDescent="0.25">
      <c r="A234">
        <v>233</v>
      </c>
      <c r="B234" t="s">
        <v>23</v>
      </c>
      <c r="C234" t="s">
        <v>9</v>
      </c>
      <c r="D234" s="5">
        <v>6309</v>
      </c>
      <c r="E234" s="6">
        <v>45075</v>
      </c>
      <c r="F234" t="s">
        <v>24</v>
      </c>
      <c r="G234" s="6">
        <v>44272</v>
      </c>
      <c r="H234" s="7">
        <f t="shared" si="3"/>
        <v>630.90000000000009</v>
      </c>
    </row>
    <row r="235" spans="1:8" x14ac:dyDescent="0.25">
      <c r="A235">
        <v>234</v>
      </c>
      <c r="B235" t="s">
        <v>18</v>
      </c>
      <c r="C235" t="s">
        <v>9</v>
      </c>
      <c r="D235" s="5">
        <v>6485</v>
      </c>
      <c r="E235" s="6">
        <v>44096</v>
      </c>
      <c r="F235" t="s">
        <v>24</v>
      </c>
      <c r="G235" s="6">
        <v>44209</v>
      </c>
      <c r="H235" s="7">
        <f t="shared" si="3"/>
        <v>648.5</v>
      </c>
    </row>
    <row r="236" spans="1:8" x14ac:dyDescent="0.25">
      <c r="A236">
        <v>235</v>
      </c>
      <c r="B236" t="s">
        <v>20</v>
      </c>
      <c r="C236" t="s">
        <v>9</v>
      </c>
      <c r="D236" s="5">
        <v>6661</v>
      </c>
      <c r="E236" s="6">
        <v>44809</v>
      </c>
      <c r="F236" t="s">
        <v>10</v>
      </c>
      <c r="G236" s="6">
        <v>45043</v>
      </c>
      <c r="H236" s="7">
        <f t="shared" si="3"/>
        <v>666.1</v>
      </c>
    </row>
    <row r="237" spans="1:8" x14ac:dyDescent="0.25">
      <c r="A237">
        <v>236</v>
      </c>
      <c r="B237" t="s">
        <v>8</v>
      </c>
      <c r="C237" t="s">
        <v>14</v>
      </c>
      <c r="D237" s="5">
        <v>6837</v>
      </c>
      <c r="E237" s="6">
        <v>44799</v>
      </c>
      <c r="F237" t="s">
        <v>21</v>
      </c>
      <c r="G237" s="6">
        <v>44309</v>
      </c>
      <c r="H237" s="7">
        <f t="shared" si="3"/>
        <v>683.7</v>
      </c>
    </row>
    <row r="238" spans="1:8" x14ac:dyDescent="0.25">
      <c r="A238">
        <v>237</v>
      </c>
      <c r="B238" t="s">
        <v>8</v>
      </c>
      <c r="C238" t="s">
        <v>16</v>
      </c>
      <c r="D238" s="5">
        <v>7013</v>
      </c>
      <c r="E238" s="6">
        <v>45091</v>
      </c>
      <c r="F238" t="s">
        <v>21</v>
      </c>
      <c r="G238" s="6">
        <v>45015</v>
      </c>
      <c r="H238" s="7">
        <f t="shared" si="3"/>
        <v>701.30000000000007</v>
      </c>
    </row>
    <row r="239" spans="1:8" x14ac:dyDescent="0.25">
      <c r="A239">
        <v>238</v>
      </c>
      <c r="B239" t="s">
        <v>23</v>
      </c>
      <c r="C239" t="s">
        <v>25</v>
      </c>
      <c r="D239" s="5">
        <v>7189</v>
      </c>
      <c r="E239" s="6">
        <v>44049</v>
      </c>
      <c r="F239" t="s">
        <v>22</v>
      </c>
      <c r="G239" s="6">
        <v>45200</v>
      </c>
      <c r="H239" s="7">
        <f t="shared" si="3"/>
        <v>718.90000000000009</v>
      </c>
    </row>
    <row r="240" spans="1:8" x14ac:dyDescent="0.25">
      <c r="A240">
        <v>239</v>
      </c>
      <c r="B240" t="s">
        <v>23</v>
      </c>
      <c r="C240" t="s">
        <v>14</v>
      </c>
      <c r="D240" s="5">
        <v>7365</v>
      </c>
      <c r="E240" s="6">
        <v>44437</v>
      </c>
      <c r="F240" t="s">
        <v>19</v>
      </c>
      <c r="G240" s="6">
        <v>43645</v>
      </c>
      <c r="H240" s="7">
        <f t="shared" si="3"/>
        <v>736.5</v>
      </c>
    </row>
    <row r="241" spans="1:8" x14ac:dyDescent="0.25">
      <c r="A241">
        <v>240</v>
      </c>
      <c r="B241" t="s">
        <v>8</v>
      </c>
      <c r="C241" t="s">
        <v>9</v>
      </c>
      <c r="D241" s="5">
        <v>7541</v>
      </c>
      <c r="E241" s="6">
        <v>45125</v>
      </c>
      <c r="F241" t="s">
        <v>10</v>
      </c>
      <c r="G241" s="6">
        <v>43161</v>
      </c>
      <c r="H241" s="7">
        <f t="shared" si="3"/>
        <v>754.1</v>
      </c>
    </row>
    <row r="242" spans="1:8" x14ac:dyDescent="0.25">
      <c r="A242">
        <v>241</v>
      </c>
      <c r="B242" t="s">
        <v>23</v>
      </c>
      <c r="C242" t="s">
        <v>14</v>
      </c>
      <c r="D242" s="5">
        <v>7717</v>
      </c>
      <c r="E242" s="6">
        <v>44821</v>
      </c>
      <c r="F242" t="s">
        <v>24</v>
      </c>
      <c r="G242" s="6">
        <v>43132</v>
      </c>
      <c r="H242" s="7">
        <f t="shared" si="3"/>
        <v>771.7</v>
      </c>
    </row>
    <row r="243" spans="1:8" x14ac:dyDescent="0.25">
      <c r="A243">
        <v>242</v>
      </c>
      <c r="B243" t="s">
        <v>18</v>
      </c>
      <c r="C243" t="s">
        <v>16</v>
      </c>
      <c r="D243" s="5">
        <v>7893</v>
      </c>
      <c r="E243" s="6">
        <v>45162</v>
      </c>
      <c r="F243" t="s">
        <v>24</v>
      </c>
      <c r="G243" s="6">
        <v>43912</v>
      </c>
      <c r="H243" s="7">
        <f t="shared" si="3"/>
        <v>789.30000000000007</v>
      </c>
    </row>
    <row r="244" spans="1:8" x14ac:dyDescent="0.25">
      <c r="A244">
        <v>243</v>
      </c>
      <c r="B244" t="s">
        <v>20</v>
      </c>
      <c r="C244" t="s">
        <v>25</v>
      </c>
      <c r="D244" s="5">
        <v>8069</v>
      </c>
      <c r="E244" s="6">
        <v>45227</v>
      </c>
      <c r="F244" t="s">
        <v>10</v>
      </c>
      <c r="G244" s="6">
        <v>44693</v>
      </c>
      <c r="H244" s="7">
        <f t="shared" si="3"/>
        <v>806.90000000000009</v>
      </c>
    </row>
    <row r="245" spans="1:8" x14ac:dyDescent="0.25">
      <c r="A245">
        <v>244</v>
      </c>
      <c r="B245" t="s">
        <v>8</v>
      </c>
      <c r="C245" t="s">
        <v>14</v>
      </c>
      <c r="D245" s="5">
        <v>8245</v>
      </c>
      <c r="E245" s="6">
        <v>44351</v>
      </c>
      <c r="F245" t="s">
        <v>21</v>
      </c>
      <c r="G245" s="6">
        <v>43132</v>
      </c>
      <c r="H245" s="7">
        <f t="shared" si="3"/>
        <v>824.5</v>
      </c>
    </row>
    <row r="246" spans="1:8" x14ac:dyDescent="0.25">
      <c r="A246">
        <v>245</v>
      </c>
      <c r="B246" t="s">
        <v>8</v>
      </c>
      <c r="C246" t="s">
        <v>9</v>
      </c>
      <c r="D246" s="5">
        <v>8421</v>
      </c>
      <c r="E246" s="6">
        <v>45263</v>
      </c>
      <c r="F246" t="s">
        <v>21</v>
      </c>
      <c r="G246" s="6">
        <v>44977</v>
      </c>
      <c r="H246" s="7">
        <f t="shared" si="3"/>
        <v>842.1</v>
      </c>
    </row>
    <row r="247" spans="1:8" x14ac:dyDescent="0.25">
      <c r="A247">
        <v>246</v>
      </c>
      <c r="B247" t="s">
        <v>23</v>
      </c>
      <c r="C247" t="s">
        <v>9</v>
      </c>
      <c r="D247" s="5">
        <v>8597</v>
      </c>
      <c r="E247" s="6">
        <v>44623</v>
      </c>
      <c r="F247" t="s">
        <v>22</v>
      </c>
      <c r="G247" s="6">
        <v>44869</v>
      </c>
      <c r="H247" s="7">
        <f t="shared" si="3"/>
        <v>859.7</v>
      </c>
    </row>
    <row r="248" spans="1:8" x14ac:dyDescent="0.25">
      <c r="A248">
        <v>247</v>
      </c>
      <c r="B248" t="s">
        <v>23</v>
      </c>
      <c r="C248" t="s">
        <v>9</v>
      </c>
      <c r="D248" s="5">
        <v>8773</v>
      </c>
      <c r="E248" s="6">
        <v>43865</v>
      </c>
      <c r="F248" t="s">
        <v>19</v>
      </c>
      <c r="G248" s="6">
        <v>44453</v>
      </c>
      <c r="H248" s="7">
        <f t="shared" si="3"/>
        <v>877.30000000000007</v>
      </c>
    </row>
    <row r="249" spans="1:8" x14ac:dyDescent="0.25">
      <c r="A249">
        <v>248</v>
      </c>
      <c r="B249" t="s">
        <v>8</v>
      </c>
      <c r="C249" t="s">
        <v>14</v>
      </c>
      <c r="D249" s="5">
        <v>8949</v>
      </c>
      <c r="E249" s="6">
        <v>43846</v>
      </c>
      <c r="F249" t="s">
        <v>10</v>
      </c>
      <c r="G249" s="6">
        <v>44287</v>
      </c>
      <c r="H249" s="7">
        <f t="shared" si="3"/>
        <v>894.90000000000009</v>
      </c>
    </row>
    <row r="250" spans="1:8" x14ac:dyDescent="0.25">
      <c r="A250">
        <v>249</v>
      </c>
      <c r="B250" t="s">
        <v>23</v>
      </c>
      <c r="C250" t="s">
        <v>16</v>
      </c>
      <c r="D250" s="5">
        <v>9125</v>
      </c>
      <c r="E250" s="6">
        <v>44726</v>
      </c>
      <c r="F250" t="s">
        <v>24</v>
      </c>
      <c r="G250" s="6">
        <v>44974</v>
      </c>
      <c r="H250" s="7">
        <f t="shared" si="3"/>
        <v>912.5</v>
      </c>
    </row>
    <row r="251" spans="1:8" x14ac:dyDescent="0.25">
      <c r="A251">
        <v>250</v>
      </c>
      <c r="B251" t="s">
        <v>18</v>
      </c>
      <c r="C251" t="s">
        <v>25</v>
      </c>
      <c r="D251" s="5">
        <v>9301</v>
      </c>
      <c r="E251" s="6">
        <v>44126</v>
      </c>
      <c r="F251" t="s">
        <v>24</v>
      </c>
      <c r="G251" s="6">
        <v>44038</v>
      </c>
      <c r="H251" s="7">
        <f t="shared" si="3"/>
        <v>930.1</v>
      </c>
    </row>
    <row r="252" spans="1:8" x14ac:dyDescent="0.25">
      <c r="A252">
        <v>251</v>
      </c>
      <c r="B252" t="s">
        <v>20</v>
      </c>
      <c r="C252" t="s">
        <v>14</v>
      </c>
      <c r="D252" s="5">
        <v>9477</v>
      </c>
      <c r="E252" s="6">
        <v>44893</v>
      </c>
      <c r="F252" t="s">
        <v>10</v>
      </c>
      <c r="G252" s="6">
        <v>43223</v>
      </c>
      <c r="H252" s="7">
        <f t="shared" si="3"/>
        <v>947.7</v>
      </c>
    </row>
    <row r="253" spans="1:8" x14ac:dyDescent="0.25">
      <c r="A253">
        <v>252</v>
      </c>
      <c r="B253" t="s">
        <v>8</v>
      </c>
      <c r="C253" t="s">
        <v>9</v>
      </c>
      <c r="D253" s="5">
        <v>9653</v>
      </c>
      <c r="E253" s="6">
        <v>43968</v>
      </c>
      <c r="F253" t="s">
        <v>21</v>
      </c>
      <c r="G253" s="6">
        <v>43341</v>
      </c>
      <c r="H253" s="7">
        <f t="shared" si="3"/>
        <v>965.30000000000007</v>
      </c>
    </row>
    <row r="254" spans="1:8" x14ac:dyDescent="0.25">
      <c r="A254">
        <v>253</v>
      </c>
      <c r="B254" t="s">
        <v>8</v>
      </c>
      <c r="C254" t="s">
        <v>14</v>
      </c>
      <c r="D254" s="5">
        <v>9829</v>
      </c>
      <c r="E254" s="6">
        <v>44041</v>
      </c>
      <c r="F254" t="s">
        <v>21</v>
      </c>
      <c r="G254" s="6">
        <v>44539</v>
      </c>
      <c r="H254" s="7">
        <f t="shared" si="3"/>
        <v>982.90000000000009</v>
      </c>
    </row>
    <row r="255" spans="1:8" x14ac:dyDescent="0.25">
      <c r="A255">
        <v>254</v>
      </c>
      <c r="B255" t="s">
        <v>23</v>
      </c>
      <c r="C255" t="s">
        <v>16</v>
      </c>
      <c r="D255" s="5">
        <v>10005</v>
      </c>
      <c r="E255" s="6">
        <v>44855</v>
      </c>
      <c r="F255" t="s">
        <v>22</v>
      </c>
      <c r="G255" s="6">
        <v>45194</v>
      </c>
      <c r="H255" s="7">
        <f t="shared" si="3"/>
        <v>1000.5</v>
      </c>
    </row>
    <row r="256" spans="1:8" x14ac:dyDescent="0.25">
      <c r="A256">
        <v>255</v>
      </c>
      <c r="B256" t="s">
        <v>23</v>
      </c>
      <c r="C256" t="s">
        <v>25</v>
      </c>
      <c r="D256" s="5">
        <v>10181</v>
      </c>
      <c r="E256" s="6">
        <v>44811</v>
      </c>
      <c r="F256" t="s">
        <v>19</v>
      </c>
      <c r="G256" s="6">
        <v>43185</v>
      </c>
      <c r="H256" s="7">
        <f t="shared" si="3"/>
        <v>1018.1</v>
      </c>
    </row>
    <row r="257" spans="1:8" x14ac:dyDescent="0.25">
      <c r="A257">
        <v>256</v>
      </c>
      <c r="B257" t="s">
        <v>8</v>
      </c>
      <c r="C257" t="s">
        <v>14</v>
      </c>
      <c r="D257" s="5">
        <v>10357</v>
      </c>
      <c r="E257" s="6">
        <v>45016</v>
      </c>
      <c r="F257" t="s">
        <v>10</v>
      </c>
      <c r="G257" s="6">
        <v>44612</v>
      </c>
      <c r="H257" s="7">
        <f t="shared" si="3"/>
        <v>1035.7</v>
      </c>
    </row>
    <row r="258" spans="1:8" x14ac:dyDescent="0.25">
      <c r="A258">
        <v>257</v>
      </c>
      <c r="B258" t="s">
        <v>23</v>
      </c>
      <c r="C258" t="s">
        <v>9</v>
      </c>
      <c r="D258" s="5">
        <v>10533</v>
      </c>
      <c r="E258" s="6">
        <v>44135</v>
      </c>
      <c r="F258" t="s">
        <v>24</v>
      </c>
      <c r="G258" s="6">
        <v>45123</v>
      </c>
      <c r="H258" s="7">
        <f t="shared" si="3"/>
        <v>1053.3</v>
      </c>
    </row>
    <row r="259" spans="1:8" x14ac:dyDescent="0.25">
      <c r="A259">
        <v>258</v>
      </c>
      <c r="B259" t="s">
        <v>18</v>
      </c>
      <c r="C259" t="s">
        <v>9</v>
      </c>
      <c r="D259" s="5">
        <v>10709</v>
      </c>
      <c r="E259" s="6">
        <v>44788</v>
      </c>
      <c r="F259" t="s">
        <v>24</v>
      </c>
      <c r="G259" s="6">
        <v>45266</v>
      </c>
      <c r="H259" s="7">
        <f t="shared" ref="H259:H313" si="4">IF(D259&lt;5000,0,IF(D259&lt;20000,D259*10%,IF(D259&lt;=30000,D259*15%,IF(D259&gt;=45000,D259*20%,0))))</f>
        <v>1070.9000000000001</v>
      </c>
    </row>
    <row r="260" spans="1:8" x14ac:dyDescent="0.25">
      <c r="A260">
        <v>259</v>
      </c>
      <c r="B260" t="s">
        <v>20</v>
      </c>
      <c r="C260" t="s">
        <v>9</v>
      </c>
      <c r="D260" s="5">
        <v>10885</v>
      </c>
      <c r="E260" s="6">
        <v>44053</v>
      </c>
      <c r="F260" t="s">
        <v>10</v>
      </c>
      <c r="G260" s="6">
        <v>43632</v>
      </c>
      <c r="H260" s="7">
        <f t="shared" si="4"/>
        <v>1088.5</v>
      </c>
    </row>
    <row r="261" spans="1:8" x14ac:dyDescent="0.25">
      <c r="A261">
        <v>260</v>
      </c>
      <c r="B261" t="s">
        <v>8</v>
      </c>
      <c r="C261" t="s">
        <v>14</v>
      </c>
      <c r="D261" s="5">
        <v>11061</v>
      </c>
      <c r="E261" s="6">
        <v>44238</v>
      </c>
      <c r="F261" t="s">
        <v>21</v>
      </c>
      <c r="G261" s="6">
        <v>43200</v>
      </c>
      <c r="H261" s="7">
        <f t="shared" si="4"/>
        <v>1106.1000000000001</v>
      </c>
    </row>
    <row r="262" spans="1:8" x14ac:dyDescent="0.25">
      <c r="A262">
        <v>261</v>
      </c>
      <c r="B262" t="s">
        <v>8</v>
      </c>
      <c r="C262" t="s">
        <v>16</v>
      </c>
      <c r="D262" s="5">
        <v>11237</v>
      </c>
      <c r="E262" s="6">
        <v>45028</v>
      </c>
      <c r="F262" t="s">
        <v>21</v>
      </c>
      <c r="G262" s="6">
        <v>43232</v>
      </c>
      <c r="H262" s="7">
        <f t="shared" si="4"/>
        <v>1123.7</v>
      </c>
    </row>
    <row r="263" spans="1:8" x14ac:dyDescent="0.25">
      <c r="A263">
        <v>262</v>
      </c>
      <c r="B263" t="s">
        <v>29</v>
      </c>
      <c r="C263" t="s">
        <v>25</v>
      </c>
      <c r="D263" s="5">
        <v>11413</v>
      </c>
      <c r="E263" s="6">
        <v>45109</v>
      </c>
      <c r="F263" t="s">
        <v>22</v>
      </c>
      <c r="G263" s="6">
        <v>44439</v>
      </c>
      <c r="H263" s="7">
        <f t="shared" si="4"/>
        <v>1141.3</v>
      </c>
    </row>
    <row r="264" spans="1:8" x14ac:dyDescent="0.25">
      <c r="A264">
        <v>263</v>
      </c>
      <c r="B264" t="s">
        <v>29</v>
      </c>
      <c r="C264" t="s">
        <v>14</v>
      </c>
      <c r="D264" s="5">
        <v>11589</v>
      </c>
      <c r="E264" s="6">
        <v>44062</v>
      </c>
      <c r="F264" t="s">
        <v>19</v>
      </c>
      <c r="G264" s="6">
        <v>44192</v>
      </c>
      <c r="H264" s="7">
        <f t="shared" si="4"/>
        <v>1158.9000000000001</v>
      </c>
    </row>
    <row r="265" spans="1:8" x14ac:dyDescent="0.25">
      <c r="A265">
        <v>264</v>
      </c>
      <c r="B265" t="s">
        <v>29</v>
      </c>
      <c r="C265" t="s">
        <v>9</v>
      </c>
      <c r="D265" s="5">
        <v>11765</v>
      </c>
      <c r="E265" s="6">
        <v>43936</v>
      </c>
      <c r="F265" t="s">
        <v>10</v>
      </c>
      <c r="G265" s="6">
        <v>45012</v>
      </c>
      <c r="H265" s="7">
        <f t="shared" si="4"/>
        <v>1176.5</v>
      </c>
    </row>
    <row r="266" spans="1:8" x14ac:dyDescent="0.25">
      <c r="A266">
        <v>265</v>
      </c>
      <c r="B266" t="s">
        <v>29</v>
      </c>
      <c r="C266" t="s">
        <v>14</v>
      </c>
      <c r="D266" s="5">
        <v>11941</v>
      </c>
      <c r="E266" s="6">
        <v>44803</v>
      </c>
      <c r="F266" t="s">
        <v>24</v>
      </c>
      <c r="G266" s="6">
        <v>45131</v>
      </c>
      <c r="H266" s="7">
        <f t="shared" si="4"/>
        <v>1194.1000000000001</v>
      </c>
    </row>
    <row r="267" spans="1:8" x14ac:dyDescent="0.25">
      <c r="A267">
        <v>266</v>
      </c>
      <c r="B267" t="s">
        <v>29</v>
      </c>
      <c r="C267" t="s">
        <v>16</v>
      </c>
      <c r="D267" s="5">
        <v>12117</v>
      </c>
      <c r="E267" s="6">
        <v>44898</v>
      </c>
      <c r="F267" t="s">
        <v>24</v>
      </c>
      <c r="G267" s="6">
        <v>44010</v>
      </c>
      <c r="H267" s="7">
        <f t="shared" si="4"/>
        <v>1211.7</v>
      </c>
    </row>
    <row r="268" spans="1:8" x14ac:dyDescent="0.25">
      <c r="A268">
        <v>267</v>
      </c>
      <c r="B268" t="s">
        <v>29</v>
      </c>
      <c r="C268" t="s">
        <v>25</v>
      </c>
      <c r="D268" s="5">
        <v>12293</v>
      </c>
      <c r="E268" s="6">
        <v>45257</v>
      </c>
      <c r="F268" t="s">
        <v>10</v>
      </c>
      <c r="G268" s="6">
        <v>43621</v>
      </c>
      <c r="H268" s="7">
        <f t="shared" si="4"/>
        <v>1229.3000000000002</v>
      </c>
    </row>
    <row r="269" spans="1:8" x14ac:dyDescent="0.25">
      <c r="A269">
        <v>268</v>
      </c>
      <c r="B269" t="s">
        <v>29</v>
      </c>
      <c r="C269" t="s">
        <v>14</v>
      </c>
      <c r="D269" s="5">
        <v>12469</v>
      </c>
      <c r="E269" s="6">
        <v>44807</v>
      </c>
      <c r="F269" t="s">
        <v>21</v>
      </c>
      <c r="G269" s="6">
        <v>45251</v>
      </c>
      <c r="H269" s="7">
        <f t="shared" si="4"/>
        <v>1246.9000000000001</v>
      </c>
    </row>
    <row r="270" spans="1:8" x14ac:dyDescent="0.25">
      <c r="A270">
        <v>269</v>
      </c>
      <c r="B270" t="s">
        <v>29</v>
      </c>
      <c r="C270" t="s">
        <v>9</v>
      </c>
      <c r="D270" s="5">
        <v>12645</v>
      </c>
      <c r="E270" s="6">
        <v>44366</v>
      </c>
      <c r="F270" t="s">
        <v>21</v>
      </c>
      <c r="G270" s="6">
        <v>43569</v>
      </c>
      <c r="H270" s="7">
        <f t="shared" si="4"/>
        <v>1264.5</v>
      </c>
    </row>
    <row r="271" spans="1:8" x14ac:dyDescent="0.25">
      <c r="A271">
        <v>270</v>
      </c>
      <c r="B271" t="s">
        <v>29</v>
      </c>
      <c r="C271" t="s">
        <v>9</v>
      </c>
      <c r="D271" s="5">
        <v>12821</v>
      </c>
      <c r="E271" s="6">
        <v>44420</v>
      </c>
      <c r="F271" t="s">
        <v>22</v>
      </c>
      <c r="G271" s="6">
        <v>43789</v>
      </c>
      <c r="H271" s="7">
        <f t="shared" si="4"/>
        <v>1282.1000000000001</v>
      </c>
    </row>
    <row r="272" spans="1:8" x14ac:dyDescent="0.25">
      <c r="A272">
        <v>271</v>
      </c>
      <c r="B272" t="s">
        <v>29</v>
      </c>
      <c r="C272" t="s">
        <v>9</v>
      </c>
      <c r="D272" s="5">
        <v>12997</v>
      </c>
      <c r="E272" s="6">
        <v>44327</v>
      </c>
      <c r="F272" t="s">
        <v>19</v>
      </c>
      <c r="G272" s="6">
        <v>43791</v>
      </c>
      <c r="H272" s="7">
        <f t="shared" si="4"/>
        <v>1299.7</v>
      </c>
    </row>
    <row r="273" spans="1:8" x14ac:dyDescent="0.25">
      <c r="A273">
        <v>272</v>
      </c>
      <c r="B273" t="s">
        <v>8</v>
      </c>
      <c r="C273" t="s">
        <v>14</v>
      </c>
      <c r="D273" s="5">
        <v>13173</v>
      </c>
      <c r="E273" s="6">
        <v>44710</v>
      </c>
      <c r="F273" t="s">
        <v>10</v>
      </c>
      <c r="G273" s="6">
        <v>45168</v>
      </c>
      <c r="H273" s="7">
        <f t="shared" si="4"/>
        <v>1317.3000000000002</v>
      </c>
    </row>
    <row r="274" spans="1:8" x14ac:dyDescent="0.25">
      <c r="A274">
        <v>273</v>
      </c>
      <c r="B274" t="s">
        <v>23</v>
      </c>
      <c r="C274" t="s">
        <v>16</v>
      </c>
      <c r="D274" s="5">
        <v>13349</v>
      </c>
      <c r="E274" s="6">
        <v>44157</v>
      </c>
      <c r="F274" t="s">
        <v>24</v>
      </c>
      <c r="G274" s="6">
        <v>45205</v>
      </c>
      <c r="H274" s="7">
        <f t="shared" si="4"/>
        <v>1334.9</v>
      </c>
    </row>
    <row r="275" spans="1:8" x14ac:dyDescent="0.25">
      <c r="A275">
        <v>274</v>
      </c>
      <c r="B275" t="s">
        <v>18</v>
      </c>
      <c r="C275" t="s">
        <v>25</v>
      </c>
      <c r="D275" s="5">
        <v>13525</v>
      </c>
      <c r="E275" s="6">
        <v>45239</v>
      </c>
      <c r="F275" t="s">
        <v>24</v>
      </c>
      <c r="G275" s="6">
        <v>45066</v>
      </c>
      <c r="H275" s="7">
        <f t="shared" si="4"/>
        <v>1352.5</v>
      </c>
    </row>
    <row r="276" spans="1:8" x14ac:dyDescent="0.25">
      <c r="A276">
        <v>275</v>
      </c>
      <c r="B276" t="s">
        <v>20</v>
      </c>
      <c r="C276" t="s">
        <v>14</v>
      </c>
      <c r="D276" s="5">
        <v>13701</v>
      </c>
      <c r="E276" s="6">
        <v>45206</v>
      </c>
      <c r="F276" t="s">
        <v>10</v>
      </c>
      <c r="G276" s="6">
        <v>44063</v>
      </c>
      <c r="H276" s="7">
        <f t="shared" si="4"/>
        <v>1370.1000000000001</v>
      </c>
    </row>
    <row r="277" spans="1:8" x14ac:dyDescent="0.25">
      <c r="A277">
        <v>276</v>
      </c>
      <c r="B277" t="s">
        <v>8</v>
      </c>
      <c r="C277" t="s">
        <v>9</v>
      </c>
      <c r="D277" s="5">
        <v>13877</v>
      </c>
      <c r="E277" s="6">
        <v>44638</v>
      </c>
      <c r="F277" t="s">
        <v>21</v>
      </c>
      <c r="G277" s="6">
        <v>43354</v>
      </c>
      <c r="H277" s="7">
        <f t="shared" si="4"/>
        <v>1387.7</v>
      </c>
    </row>
    <row r="278" spans="1:8" x14ac:dyDescent="0.25">
      <c r="A278">
        <v>277</v>
      </c>
      <c r="B278" t="s">
        <v>8</v>
      </c>
      <c r="C278" t="s">
        <v>14</v>
      </c>
      <c r="D278" s="5">
        <v>14053</v>
      </c>
      <c r="E278" s="6">
        <v>44802</v>
      </c>
      <c r="F278" t="s">
        <v>21</v>
      </c>
      <c r="G278" s="6">
        <v>43971</v>
      </c>
      <c r="H278" s="7">
        <f t="shared" si="4"/>
        <v>1405.3000000000002</v>
      </c>
    </row>
    <row r="279" spans="1:8" x14ac:dyDescent="0.25">
      <c r="A279">
        <v>278</v>
      </c>
      <c r="B279" t="s">
        <v>23</v>
      </c>
      <c r="C279" t="s">
        <v>16</v>
      </c>
      <c r="D279" s="5">
        <v>14229</v>
      </c>
      <c r="E279" s="6">
        <v>44621</v>
      </c>
      <c r="F279" t="s">
        <v>22</v>
      </c>
      <c r="G279" s="6">
        <v>44306</v>
      </c>
      <c r="H279" s="7">
        <f t="shared" si="4"/>
        <v>1422.9</v>
      </c>
    </row>
    <row r="280" spans="1:8" x14ac:dyDescent="0.25">
      <c r="A280">
        <v>279</v>
      </c>
      <c r="B280" t="s">
        <v>23</v>
      </c>
      <c r="C280" t="s">
        <v>25</v>
      </c>
      <c r="D280" s="5">
        <v>14405</v>
      </c>
      <c r="E280" s="6">
        <v>43976</v>
      </c>
      <c r="F280" t="s">
        <v>19</v>
      </c>
      <c r="G280" s="6">
        <v>43907</v>
      </c>
      <c r="H280" s="7">
        <f t="shared" si="4"/>
        <v>1440.5</v>
      </c>
    </row>
    <row r="281" spans="1:8" x14ac:dyDescent="0.25">
      <c r="A281">
        <v>280</v>
      </c>
      <c r="B281" t="s">
        <v>8</v>
      </c>
      <c r="C281" t="s">
        <v>14</v>
      </c>
      <c r="D281" s="5">
        <v>14581</v>
      </c>
      <c r="E281" s="6">
        <v>44258</v>
      </c>
      <c r="F281" t="s">
        <v>10</v>
      </c>
      <c r="G281" s="6">
        <v>44017</v>
      </c>
      <c r="H281" s="7">
        <f t="shared" si="4"/>
        <v>1458.1000000000001</v>
      </c>
    </row>
    <row r="282" spans="1:8" x14ac:dyDescent="0.25">
      <c r="A282">
        <v>281</v>
      </c>
      <c r="B282" t="s">
        <v>23</v>
      </c>
      <c r="C282" t="s">
        <v>9</v>
      </c>
      <c r="D282" s="5">
        <v>14757</v>
      </c>
      <c r="E282" s="6">
        <v>44691</v>
      </c>
      <c r="F282" t="s">
        <v>24</v>
      </c>
      <c r="G282" s="6">
        <v>44363</v>
      </c>
      <c r="H282" s="7">
        <f t="shared" si="4"/>
        <v>1475.7</v>
      </c>
    </row>
    <row r="283" spans="1:8" x14ac:dyDescent="0.25">
      <c r="A283">
        <v>282</v>
      </c>
      <c r="B283" t="s">
        <v>18</v>
      </c>
      <c r="C283" t="s">
        <v>9</v>
      </c>
      <c r="D283" s="5">
        <v>14933</v>
      </c>
      <c r="E283" s="6">
        <v>44071</v>
      </c>
      <c r="F283" t="s">
        <v>24</v>
      </c>
      <c r="G283" s="6">
        <v>44843</v>
      </c>
      <c r="H283" s="7">
        <f t="shared" si="4"/>
        <v>1493.3000000000002</v>
      </c>
    </row>
    <row r="284" spans="1:8" x14ac:dyDescent="0.25">
      <c r="A284">
        <v>283</v>
      </c>
      <c r="B284" t="s">
        <v>20</v>
      </c>
      <c r="C284" t="s">
        <v>9</v>
      </c>
      <c r="D284" s="5">
        <v>15109</v>
      </c>
      <c r="E284" s="6">
        <v>44892</v>
      </c>
      <c r="F284" t="s">
        <v>10</v>
      </c>
      <c r="G284" s="6">
        <v>44364</v>
      </c>
      <c r="H284" s="7">
        <f t="shared" si="4"/>
        <v>1510.9</v>
      </c>
    </row>
    <row r="285" spans="1:8" x14ac:dyDescent="0.25">
      <c r="A285">
        <v>284</v>
      </c>
      <c r="B285" t="s">
        <v>8</v>
      </c>
      <c r="C285" t="s">
        <v>14</v>
      </c>
      <c r="D285" s="5">
        <v>15285</v>
      </c>
      <c r="E285" s="6">
        <v>44266</v>
      </c>
      <c r="F285" t="s">
        <v>21</v>
      </c>
      <c r="G285" s="6">
        <v>44759</v>
      </c>
      <c r="H285" s="7">
        <f t="shared" si="4"/>
        <v>1528.5</v>
      </c>
    </row>
    <row r="286" spans="1:8" x14ac:dyDescent="0.25">
      <c r="A286">
        <v>285</v>
      </c>
      <c r="B286" t="s">
        <v>8</v>
      </c>
      <c r="C286" t="s">
        <v>16</v>
      </c>
      <c r="D286" s="5">
        <v>15461</v>
      </c>
      <c r="E286" s="6">
        <v>45230</v>
      </c>
      <c r="F286" t="s">
        <v>21</v>
      </c>
      <c r="G286" s="6">
        <v>43736</v>
      </c>
      <c r="H286" s="7">
        <f t="shared" si="4"/>
        <v>1546.1000000000001</v>
      </c>
    </row>
    <row r="287" spans="1:8" x14ac:dyDescent="0.25">
      <c r="A287">
        <v>286</v>
      </c>
      <c r="B287" t="s">
        <v>23</v>
      </c>
      <c r="C287" t="s">
        <v>25</v>
      </c>
      <c r="D287" s="5">
        <v>15637</v>
      </c>
      <c r="E287" s="6">
        <v>44499</v>
      </c>
      <c r="F287" t="s">
        <v>22</v>
      </c>
      <c r="G287" s="6">
        <v>44173</v>
      </c>
      <c r="H287" s="7">
        <f t="shared" si="4"/>
        <v>1563.7</v>
      </c>
    </row>
    <row r="288" spans="1:8" x14ac:dyDescent="0.25">
      <c r="A288">
        <v>287</v>
      </c>
      <c r="B288" t="s">
        <v>23</v>
      </c>
      <c r="C288" t="s">
        <v>14</v>
      </c>
      <c r="D288" s="5">
        <v>15813</v>
      </c>
      <c r="E288" s="6">
        <v>43959</v>
      </c>
      <c r="F288" t="s">
        <v>19</v>
      </c>
      <c r="G288" s="6">
        <v>43786</v>
      </c>
      <c r="H288" s="7">
        <f t="shared" si="4"/>
        <v>1581.3000000000002</v>
      </c>
    </row>
    <row r="289" spans="1:8" x14ac:dyDescent="0.25">
      <c r="A289">
        <v>288</v>
      </c>
      <c r="B289" t="s">
        <v>8</v>
      </c>
      <c r="C289" t="s">
        <v>9</v>
      </c>
      <c r="D289" s="5">
        <v>15989</v>
      </c>
      <c r="E289" s="6">
        <v>44623</v>
      </c>
      <c r="F289" t="s">
        <v>10</v>
      </c>
      <c r="G289" s="6">
        <v>45178</v>
      </c>
      <c r="H289" s="7">
        <f t="shared" si="4"/>
        <v>1598.9</v>
      </c>
    </row>
    <row r="290" spans="1:8" x14ac:dyDescent="0.25">
      <c r="A290">
        <v>289</v>
      </c>
      <c r="B290" t="s">
        <v>23</v>
      </c>
      <c r="C290" t="s">
        <v>14</v>
      </c>
      <c r="D290" s="5">
        <v>16165</v>
      </c>
      <c r="E290" s="6">
        <v>44868</v>
      </c>
      <c r="F290" t="s">
        <v>24</v>
      </c>
      <c r="G290" s="6">
        <v>44349</v>
      </c>
      <c r="H290" s="7">
        <f t="shared" si="4"/>
        <v>1616.5</v>
      </c>
    </row>
    <row r="291" spans="1:8" x14ac:dyDescent="0.25">
      <c r="A291">
        <v>290</v>
      </c>
      <c r="B291" t="s">
        <v>18</v>
      </c>
      <c r="C291" t="s">
        <v>16</v>
      </c>
      <c r="D291" s="5">
        <v>16341</v>
      </c>
      <c r="E291" s="6">
        <v>43918</v>
      </c>
      <c r="F291" t="s">
        <v>24</v>
      </c>
      <c r="G291" s="6">
        <v>43566</v>
      </c>
      <c r="H291" s="7">
        <f t="shared" si="4"/>
        <v>1634.1000000000001</v>
      </c>
    </row>
    <row r="292" spans="1:8" x14ac:dyDescent="0.25">
      <c r="A292">
        <v>291</v>
      </c>
      <c r="B292" t="s">
        <v>20</v>
      </c>
      <c r="C292" t="s">
        <v>25</v>
      </c>
      <c r="D292" s="5">
        <v>16517</v>
      </c>
      <c r="E292" s="6">
        <v>43883</v>
      </c>
      <c r="F292" t="s">
        <v>10</v>
      </c>
      <c r="G292" s="6">
        <v>44533</v>
      </c>
      <c r="H292" s="7">
        <f t="shared" si="4"/>
        <v>1651.7</v>
      </c>
    </row>
    <row r="293" spans="1:8" x14ac:dyDescent="0.25">
      <c r="A293">
        <v>292</v>
      </c>
      <c r="B293" t="s">
        <v>8</v>
      </c>
      <c r="C293" t="s">
        <v>14</v>
      </c>
      <c r="D293" s="5">
        <v>16693</v>
      </c>
      <c r="E293" s="6">
        <v>44475</v>
      </c>
      <c r="F293" t="s">
        <v>21</v>
      </c>
      <c r="G293" s="6">
        <v>44704</v>
      </c>
      <c r="H293" s="7">
        <f t="shared" si="4"/>
        <v>1669.3000000000002</v>
      </c>
    </row>
    <row r="294" spans="1:8" x14ac:dyDescent="0.25">
      <c r="A294">
        <v>293</v>
      </c>
      <c r="B294" t="s">
        <v>8</v>
      </c>
      <c r="C294" t="s">
        <v>9</v>
      </c>
      <c r="D294" s="5">
        <v>16869</v>
      </c>
      <c r="E294" s="6">
        <v>44645</v>
      </c>
      <c r="F294" t="s">
        <v>21</v>
      </c>
      <c r="G294" s="6">
        <v>43508</v>
      </c>
      <c r="H294" s="7">
        <f t="shared" si="4"/>
        <v>1686.9</v>
      </c>
    </row>
    <row r="295" spans="1:8" x14ac:dyDescent="0.25">
      <c r="A295">
        <v>294</v>
      </c>
      <c r="B295" t="s">
        <v>23</v>
      </c>
      <c r="C295" t="s">
        <v>9</v>
      </c>
      <c r="D295" s="5">
        <v>17045</v>
      </c>
      <c r="E295" s="6">
        <v>44078</v>
      </c>
      <c r="F295" t="s">
        <v>22</v>
      </c>
      <c r="G295" s="6">
        <v>44185</v>
      </c>
      <c r="H295" s="7">
        <f t="shared" si="4"/>
        <v>1704.5</v>
      </c>
    </row>
    <row r="296" spans="1:8" x14ac:dyDescent="0.25">
      <c r="A296">
        <v>295</v>
      </c>
      <c r="B296" t="s">
        <v>23</v>
      </c>
      <c r="C296" t="s">
        <v>9</v>
      </c>
      <c r="D296" s="5">
        <v>17221</v>
      </c>
      <c r="E296" s="6">
        <v>45122</v>
      </c>
      <c r="F296" t="s">
        <v>19</v>
      </c>
      <c r="G296" s="6">
        <v>44264</v>
      </c>
      <c r="H296" s="7">
        <f t="shared" si="4"/>
        <v>1722.1000000000001</v>
      </c>
    </row>
    <row r="297" spans="1:8" x14ac:dyDescent="0.25">
      <c r="A297">
        <v>296</v>
      </c>
      <c r="B297" t="s">
        <v>8</v>
      </c>
      <c r="C297" t="s">
        <v>14</v>
      </c>
      <c r="D297" s="5">
        <v>17397</v>
      </c>
      <c r="E297" s="6">
        <v>44283</v>
      </c>
      <c r="F297" t="s">
        <v>10</v>
      </c>
      <c r="G297" s="6">
        <v>44975</v>
      </c>
      <c r="H297" s="7">
        <f t="shared" si="4"/>
        <v>1739.7</v>
      </c>
    </row>
    <row r="298" spans="1:8" x14ac:dyDescent="0.25">
      <c r="A298">
        <v>297</v>
      </c>
      <c r="B298" t="s">
        <v>23</v>
      </c>
      <c r="C298" t="s">
        <v>16</v>
      </c>
      <c r="D298" s="5">
        <v>17573</v>
      </c>
      <c r="E298" s="6">
        <v>44791</v>
      </c>
      <c r="F298" t="s">
        <v>24</v>
      </c>
      <c r="G298" s="6">
        <v>43464</v>
      </c>
      <c r="H298" s="7">
        <f t="shared" si="4"/>
        <v>1757.3000000000002</v>
      </c>
    </row>
    <row r="299" spans="1:8" x14ac:dyDescent="0.25">
      <c r="A299">
        <v>298</v>
      </c>
      <c r="B299" t="s">
        <v>18</v>
      </c>
      <c r="C299" t="s">
        <v>25</v>
      </c>
      <c r="D299" s="5">
        <v>17749</v>
      </c>
      <c r="E299" s="6">
        <v>44543</v>
      </c>
      <c r="F299" t="s">
        <v>24</v>
      </c>
      <c r="G299" s="6">
        <v>44463</v>
      </c>
      <c r="H299" s="7">
        <f t="shared" si="4"/>
        <v>1774.9</v>
      </c>
    </row>
    <row r="300" spans="1:8" x14ac:dyDescent="0.25">
      <c r="A300">
        <v>299</v>
      </c>
      <c r="B300" t="s">
        <v>20</v>
      </c>
      <c r="C300" t="s">
        <v>14</v>
      </c>
      <c r="D300" s="5">
        <v>17925</v>
      </c>
      <c r="E300" s="6">
        <v>45153</v>
      </c>
      <c r="F300" t="s">
        <v>10</v>
      </c>
      <c r="G300" s="6">
        <v>45077</v>
      </c>
      <c r="H300" s="7">
        <f t="shared" si="4"/>
        <v>1792.5</v>
      </c>
    </row>
    <row r="301" spans="1:8" x14ac:dyDescent="0.25">
      <c r="A301">
        <v>300</v>
      </c>
      <c r="B301" t="s">
        <v>8</v>
      </c>
      <c r="C301" t="s">
        <v>9</v>
      </c>
      <c r="D301" s="5">
        <v>18101</v>
      </c>
      <c r="E301" s="6">
        <v>45280</v>
      </c>
      <c r="F301" t="s">
        <v>21</v>
      </c>
      <c r="G301" s="6">
        <v>45160</v>
      </c>
      <c r="H301" s="7">
        <f t="shared" si="4"/>
        <v>1810.1000000000001</v>
      </c>
    </row>
    <row r="302" spans="1:8" x14ac:dyDescent="0.25">
      <c r="A302">
        <v>301</v>
      </c>
      <c r="B302" t="s">
        <v>8</v>
      </c>
      <c r="C302" t="s">
        <v>14</v>
      </c>
      <c r="D302" s="5">
        <v>18277</v>
      </c>
      <c r="E302" s="6">
        <v>44330</v>
      </c>
      <c r="F302" t="s">
        <v>21</v>
      </c>
      <c r="G302" s="6">
        <v>44900</v>
      </c>
      <c r="H302" s="7">
        <f t="shared" si="4"/>
        <v>1827.7</v>
      </c>
    </row>
    <row r="303" spans="1:8" x14ac:dyDescent="0.25">
      <c r="A303">
        <v>302</v>
      </c>
      <c r="B303" t="s">
        <v>29</v>
      </c>
      <c r="C303" t="s">
        <v>16</v>
      </c>
      <c r="D303" s="5">
        <v>18453</v>
      </c>
      <c r="E303" s="6">
        <v>45098</v>
      </c>
      <c r="F303" t="s">
        <v>22</v>
      </c>
      <c r="G303" s="6">
        <v>44279</v>
      </c>
      <c r="H303" s="7">
        <f t="shared" si="4"/>
        <v>1845.3000000000002</v>
      </c>
    </row>
    <row r="304" spans="1:8" x14ac:dyDescent="0.25">
      <c r="A304">
        <v>303</v>
      </c>
      <c r="B304" t="s">
        <v>29</v>
      </c>
      <c r="C304" t="s">
        <v>25</v>
      </c>
      <c r="D304" s="5">
        <v>18629</v>
      </c>
      <c r="E304" s="6">
        <v>44337</v>
      </c>
      <c r="F304" t="s">
        <v>19</v>
      </c>
      <c r="G304" s="6">
        <v>43947</v>
      </c>
      <c r="H304" s="7">
        <f t="shared" si="4"/>
        <v>1862.9</v>
      </c>
    </row>
    <row r="305" spans="1:8" x14ac:dyDescent="0.25">
      <c r="A305">
        <v>304</v>
      </c>
      <c r="B305" t="s">
        <v>29</v>
      </c>
      <c r="C305" t="s">
        <v>14</v>
      </c>
      <c r="D305" s="5">
        <v>18805</v>
      </c>
      <c r="E305" s="6">
        <v>45236</v>
      </c>
      <c r="F305" t="s">
        <v>10</v>
      </c>
      <c r="G305" s="6">
        <v>44976</v>
      </c>
      <c r="H305" s="7">
        <f t="shared" si="4"/>
        <v>1880.5</v>
      </c>
    </row>
    <row r="306" spans="1:8" x14ac:dyDescent="0.25">
      <c r="A306">
        <v>305</v>
      </c>
      <c r="B306" t="s">
        <v>29</v>
      </c>
      <c r="C306" t="s">
        <v>9</v>
      </c>
      <c r="D306" s="5">
        <v>18981</v>
      </c>
      <c r="E306" s="6">
        <v>44233</v>
      </c>
      <c r="F306" t="s">
        <v>24</v>
      </c>
      <c r="G306" s="6">
        <v>43880</v>
      </c>
      <c r="H306" s="7">
        <f t="shared" si="4"/>
        <v>1898.1000000000001</v>
      </c>
    </row>
    <row r="307" spans="1:8" x14ac:dyDescent="0.25">
      <c r="A307">
        <v>306</v>
      </c>
      <c r="B307" t="s">
        <v>29</v>
      </c>
      <c r="C307" t="s">
        <v>9</v>
      </c>
      <c r="D307" s="5">
        <v>19157</v>
      </c>
      <c r="E307" s="6">
        <v>44380</v>
      </c>
      <c r="F307" t="s">
        <v>24</v>
      </c>
      <c r="G307" s="6">
        <v>45198</v>
      </c>
      <c r="H307" s="7">
        <f t="shared" si="4"/>
        <v>1915.7</v>
      </c>
    </row>
    <row r="308" spans="1:8" x14ac:dyDescent="0.25">
      <c r="A308">
        <v>307</v>
      </c>
      <c r="B308" t="s">
        <v>29</v>
      </c>
      <c r="C308" t="s">
        <v>9</v>
      </c>
      <c r="D308" s="5">
        <v>19333</v>
      </c>
      <c r="E308" s="6">
        <v>44139</v>
      </c>
      <c r="F308" t="s">
        <v>10</v>
      </c>
      <c r="G308" s="6">
        <v>43543</v>
      </c>
      <c r="H308" s="7">
        <f t="shared" si="4"/>
        <v>1933.3000000000002</v>
      </c>
    </row>
    <row r="309" spans="1:8" x14ac:dyDescent="0.25">
      <c r="A309">
        <v>308</v>
      </c>
      <c r="B309" t="s">
        <v>29</v>
      </c>
      <c r="C309" t="s">
        <v>14</v>
      </c>
      <c r="D309" s="5">
        <v>19509</v>
      </c>
      <c r="E309" s="6">
        <v>44734</v>
      </c>
      <c r="F309" t="s">
        <v>21</v>
      </c>
      <c r="G309" s="6">
        <v>44174</v>
      </c>
      <c r="H309" s="7">
        <f t="shared" si="4"/>
        <v>1950.9</v>
      </c>
    </row>
    <row r="310" spans="1:8" x14ac:dyDescent="0.25">
      <c r="A310">
        <v>309</v>
      </c>
      <c r="B310" t="s">
        <v>29</v>
      </c>
      <c r="C310" t="s">
        <v>16</v>
      </c>
      <c r="D310" s="5">
        <v>19685</v>
      </c>
      <c r="E310" s="6">
        <v>45169</v>
      </c>
      <c r="F310" t="s">
        <v>21</v>
      </c>
      <c r="G310" s="6">
        <v>44723</v>
      </c>
      <c r="H310" s="7">
        <f t="shared" si="4"/>
        <v>1968.5</v>
      </c>
    </row>
    <row r="311" spans="1:8" x14ac:dyDescent="0.25">
      <c r="A311">
        <v>310</v>
      </c>
      <c r="B311" t="s">
        <v>29</v>
      </c>
      <c r="C311" t="s">
        <v>25</v>
      </c>
      <c r="D311" s="5">
        <v>19861</v>
      </c>
      <c r="E311" s="6">
        <v>44710</v>
      </c>
      <c r="F311" t="s">
        <v>22</v>
      </c>
      <c r="G311" s="6">
        <v>44050</v>
      </c>
      <c r="H311" s="7">
        <f t="shared" si="4"/>
        <v>1986.1000000000001</v>
      </c>
    </row>
    <row r="312" spans="1:8" x14ac:dyDescent="0.25">
      <c r="A312">
        <v>311</v>
      </c>
      <c r="B312" t="s">
        <v>29</v>
      </c>
      <c r="C312" t="s">
        <v>14</v>
      </c>
      <c r="D312" s="5">
        <v>20037</v>
      </c>
      <c r="E312" s="6">
        <v>43946</v>
      </c>
      <c r="F312" t="s">
        <v>19</v>
      </c>
      <c r="G312" s="6">
        <v>43968</v>
      </c>
      <c r="H312" s="7">
        <f t="shared" si="4"/>
        <v>3005.5499999999997</v>
      </c>
    </row>
    <row r="313" spans="1:8" x14ac:dyDescent="0.25">
      <c r="A313">
        <v>312</v>
      </c>
      <c r="B313" t="s">
        <v>29</v>
      </c>
      <c r="C313" t="s">
        <v>9</v>
      </c>
      <c r="D313" s="5">
        <v>20213</v>
      </c>
      <c r="E313" s="6">
        <v>45085</v>
      </c>
      <c r="F313" t="s">
        <v>10</v>
      </c>
      <c r="G313" s="6">
        <v>43599</v>
      </c>
      <c r="H313" s="7">
        <f t="shared" si="4"/>
        <v>3031.95</v>
      </c>
    </row>
  </sheetData>
  <conditionalFormatting sqref="D2:D36">
    <cfRule type="iconSet" priority="1">
      <iconSet iconSet="3Arrows">
        <cfvo type="percent" val="0"/>
        <cfvo type="percent" val="33"/>
        <cfvo type="percent" val="67"/>
      </iconSet>
    </cfRule>
  </conditionalFormatting>
  <conditionalFormatting sqref="D2:D313">
    <cfRule type="iconSet" priority="2">
      <iconSet iconSet="4Arrows">
        <cfvo type="percent" val="0"/>
        <cfvo type="percent" val="25"/>
        <cfvo type="percent" val="50"/>
        <cfvo type="percent" val="75"/>
      </iconSet>
    </cfRule>
    <cfRule type="iconSet" priority="3">
      <iconSet iconSet="3Arrows">
        <cfvo type="percent" val="0"/>
        <cfvo type="percent" val="33"/>
        <cfvo type="percent" val="67"/>
      </iconSet>
    </cfRule>
  </conditionalFormatting>
  <conditionalFormatting sqref="F2:F313">
    <cfRule type="containsText" dxfId="42" priority="4" operator="containsText" text="Germany">
      <formula>NOT(ISERROR(SEARCH("Germany",F2)))</formula>
    </cfRule>
    <cfRule type="containsText" dxfId="41" priority="5" operator="containsText" text="United States">
      <formula>NOT(ISERROR(SEARCH("United States",F2)))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5BDB5-223E-43EE-BB89-1B76C0D56B2E}">
  <dimension ref="A3:C33"/>
  <sheetViews>
    <sheetView workbookViewId="0">
      <selection activeCell="A3" sqref="A3"/>
    </sheetView>
  </sheetViews>
  <sheetFormatPr defaultRowHeight="15" x14ac:dyDescent="0.25"/>
  <cols>
    <col min="1" max="1" width="16.7109375" bestFit="1" customWidth="1"/>
    <col min="2" max="2" width="19.5703125" bestFit="1" customWidth="1"/>
    <col min="3" max="3" width="12.28515625" bestFit="1" customWidth="1"/>
    <col min="4" max="4" width="19.85546875" bestFit="1" customWidth="1"/>
    <col min="5" max="5" width="19.5703125" bestFit="1" customWidth="1"/>
    <col min="6" max="6" width="12.28515625" bestFit="1" customWidth="1"/>
    <col min="7" max="7" width="19.85546875" bestFit="1" customWidth="1"/>
    <col min="8" max="8" width="19.5703125" bestFit="1" customWidth="1"/>
    <col min="9" max="9" width="12.28515625" bestFit="1" customWidth="1"/>
    <col min="10" max="10" width="19.85546875" bestFit="1" customWidth="1"/>
    <col min="11" max="11" width="19.5703125" bestFit="1" customWidth="1"/>
    <col min="12" max="12" width="12.28515625" bestFit="1" customWidth="1"/>
    <col min="13" max="13" width="19.85546875" bestFit="1" customWidth="1"/>
    <col min="14" max="14" width="19.5703125" bestFit="1" customWidth="1"/>
    <col min="15" max="15" width="12.28515625" bestFit="1" customWidth="1"/>
    <col min="16" max="16" width="19.85546875" bestFit="1" customWidth="1"/>
    <col min="17" max="17" width="19.5703125" bestFit="1" customWidth="1"/>
    <col min="18" max="18" width="12.28515625" bestFit="1" customWidth="1"/>
    <col min="19" max="19" width="19.85546875" bestFit="1" customWidth="1"/>
    <col min="20" max="20" width="19.5703125" bestFit="1" customWidth="1"/>
    <col min="21" max="21" width="12.28515625" bestFit="1" customWidth="1"/>
    <col min="22" max="22" width="19.85546875" bestFit="1" customWidth="1"/>
    <col min="23" max="23" width="19.5703125" bestFit="1" customWidth="1"/>
    <col min="24" max="24" width="12.28515625" bestFit="1" customWidth="1"/>
    <col min="25" max="25" width="19.85546875" bestFit="1" customWidth="1"/>
    <col min="26" max="26" width="19.5703125" bestFit="1" customWidth="1"/>
    <col min="27" max="27" width="12.28515625" bestFit="1" customWidth="1"/>
    <col min="28" max="28" width="19.85546875" bestFit="1" customWidth="1"/>
    <col min="29" max="29" width="19.5703125" bestFit="1" customWidth="1"/>
    <col min="30" max="30" width="12.28515625" bestFit="1" customWidth="1"/>
    <col min="31" max="31" width="19.85546875" bestFit="1" customWidth="1"/>
    <col min="32" max="32" width="19.5703125" bestFit="1" customWidth="1"/>
    <col min="33" max="33" width="12.28515625" bestFit="1" customWidth="1"/>
    <col min="34" max="34" width="19.85546875" bestFit="1" customWidth="1"/>
    <col min="35" max="35" width="19.5703125" bestFit="1" customWidth="1"/>
    <col min="36" max="36" width="12.28515625" bestFit="1" customWidth="1"/>
    <col min="37" max="37" width="19.85546875" bestFit="1" customWidth="1"/>
    <col min="38" max="38" width="19.5703125" bestFit="1" customWidth="1"/>
    <col min="39" max="39" width="12.28515625" bestFit="1" customWidth="1"/>
    <col min="40" max="40" width="19.85546875" bestFit="1" customWidth="1"/>
    <col min="41" max="41" width="19.5703125" bestFit="1" customWidth="1"/>
    <col min="42" max="42" width="12.28515625" bestFit="1" customWidth="1"/>
    <col min="43" max="43" width="19.85546875" bestFit="1" customWidth="1"/>
    <col min="44" max="44" width="19.5703125" bestFit="1" customWidth="1"/>
    <col min="45" max="45" width="12.28515625" bestFit="1" customWidth="1"/>
    <col min="46" max="46" width="19.85546875" bestFit="1" customWidth="1"/>
    <col min="47" max="47" width="19.5703125" bestFit="1" customWidth="1"/>
    <col min="48" max="48" width="12.28515625" bestFit="1" customWidth="1"/>
    <col min="49" max="49" width="19.85546875" bestFit="1" customWidth="1"/>
    <col min="50" max="50" width="19.5703125" bestFit="1" customWidth="1"/>
    <col min="51" max="51" width="12.28515625" bestFit="1" customWidth="1"/>
    <col min="52" max="52" width="19.85546875" bestFit="1" customWidth="1"/>
    <col min="53" max="53" width="24.5703125" bestFit="1" customWidth="1"/>
    <col min="54" max="54" width="17.42578125" bestFit="1" customWidth="1"/>
    <col min="55" max="55" width="24.85546875" bestFit="1" customWidth="1"/>
  </cols>
  <sheetData>
    <row r="3" spans="1:3" x14ac:dyDescent="0.25">
      <c r="A3" s="8" t="s">
        <v>30</v>
      </c>
      <c r="B3" t="s">
        <v>173</v>
      </c>
      <c r="C3" t="s">
        <v>174</v>
      </c>
    </row>
    <row r="4" spans="1:3" x14ac:dyDescent="0.25">
      <c r="A4" s="9" t="s">
        <v>68</v>
      </c>
      <c r="B4" s="5">
        <v>89.79</v>
      </c>
      <c r="C4" s="52">
        <v>5</v>
      </c>
    </row>
    <row r="5" spans="1:3" x14ac:dyDescent="0.25">
      <c r="A5" s="9" t="s">
        <v>102</v>
      </c>
      <c r="B5" s="5">
        <v>55.59</v>
      </c>
      <c r="C5" s="52">
        <v>12</v>
      </c>
    </row>
    <row r="6" spans="1:3" x14ac:dyDescent="0.25">
      <c r="A6" s="9" t="s">
        <v>112</v>
      </c>
      <c r="B6" s="5">
        <v>31.89</v>
      </c>
      <c r="C6" s="52">
        <v>14</v>
      </c>
    </row>
    <row r="7" spans="1:3" x14ac:dyDescent="0.25">
      <c r="A7" s="9" t="s">
        <v>160</v>
      </c>
      <c r="B7" s="5">
        <v>19.95</v>
      </c>
      <c r="C7" s="52">
        <v>5</v>
      </c>
    </row>
    <row r="8" spans="1:3" x14ac:dyDescent="0.25">
      <c r="A8" s="9" t="s">
        <v>134</v>
      </c>
      <c r="B8" s="5">
        <v>3.75</v>
      </c>
      <c r="C8" s="52">
        <v>2</v>
      </c>
    </row>
    <row r="9" spans="1:3" x14ac:dyDescent="0.25">
      <c r="A9" s="9" t="s">
        <v>169</v>
      </c>
      <c r="B9" s="5">
        <v>15.49</v>
      </c>
      <c r="C9" s="52">
        <v>4</v>
      </c>
    </row>
    <row r="10" spans="1:3" x14ac:dyDescent="0.25">
      <c r="A10" s="9" t="s">
        <v>78</v>
      </c>
      <c r="B10" s="5">
        <v>78.900000000000006</v>
      </c>
      <c r="C10" s="52">
        <v>7</v>
      </c>
    </row>
    <row r="11" spans="1:3" x14ac:dyDescent="0.25">
      <c r="A11" s="9" t="s">
        <v>122</v>
      </c>
      <c r="B11" s="5">
        <v>71.89</v>
      </c>
      <c r="C11" s="52">
        <v>16</v>
      </c>
    </row>
    <row r="12" spans="1:3" x14ac:dyDescent="0.25">
      <c r="A12" s="9" t="s">
        <v>97</v>
      </c>
      <c r="B12" s="5">
        <v>2.89</v>
      </c>
      <c r="C12" s="52">
        <v>11</v>
      </c>
    </row>
    <row r="13" spans="1:3" x14ac:dyDescent="0.25">
      <c r="A13" s="9" t="s">
        <v>88</v>
      </c>
      <c r="B13" s="5">
        <v>14.09</v>
      </c>
      <c r="C13" s="52">
        <v>9</v>
      </c>
    </row>
    <row r="14" spans="1:3" x14ac:dyDescent="0.25">
      <c r="A14" s="9" t="s">
        <v>147</v>
      </c>
      <c r="B14" s="5">
        <v>69.900000000000006</v>
      </c>
      <c r="C14" s="52">
        <v>2</v>
      </c>
    </row>
    <row r="15" spans="1:3" x14ac:dyDescent="0.25">
      <c r="A15" s="9" t="s">
        <v>83</v>
      </c>
      <c r="B15" s="5">
        <v>7.87</v>
      </c>
      <c r="C15" s="52">
        <v>8</v>
      </c>
    </row>
    <row r="16" spans="1:3" x14ac:dyDescent="0.25">
      <c r="A16" s="9" t="s">
        <v>140</v>
      </c>
      <c r="B16" s="5">
        <v>79.989999999999995</v>
      </c>
      <c r="C16" s="52">
        <v>3</v>
      </c>
    </row>
    <row r="17" spans="1:3" x14ac:dyDescent="0.25">
      <c r="A17" s="9" t="s">
        <v>73</v>
      </c>
      <c r="B17" s="5">
        <v>3.99</v>
      </c>
      <c r="C17" s="52">
        <v>6</v>
      </c>
    </row>
    <row r="18" spans="1:3" x14ac:dyDescent="0.25">
      <c r="A18" s="9" t="s">
        <v>60</v>
      </c>
      <c r="B18" s="5">
        <v>7.25</v>
      </c>
      <c r="C18" s="52">
        <v>3</v>
      </c>
    </row>
    <row r="19" spans="1:3" x14ac:dyDescent="0.25">
      <c r="A19" s="9" t="s">
        <v>54</v>
      </c>
      <c r="B19" s="5">
        <v>4.99</v>
      </c>
      <c r="C19" s="52">
        <v>2</v>
      </c>
    </row>
    <row r="20" spans="1:3" x14ac:dyDescent="0.25">
      <c r="A20" s="9" t="s">
        <v>92</v>
      </c>
      <c r="B20" s="5">
        <v>90.89</v>
      </c>
      <c r="C20" s="52">
        <v>10</v>
      </c>
    </row>
    <row r="21" spans="1:3" x14ac:dyDescent="0.25">
      <c r="A21" s="9" t="s">
        <v>166</v>
      </c>
      <c r="B21" s="5">
        <v>74.900000000000006</v>
      </c>
      <c r="C21" s="52">
        <v>3</v>
      </c>
    </row>
    <row r="22" spans="1:3" x14ac:dyDescent="0.25">
      <c r="A22" s="9" t="s">
        <v>143</v>
      </c>
      <c r="B22" s="5">
        <v>45</v>
      </c>
      <c r="C22" s="52">
        <v>4</v>
      </c>
    </row>
    <row r="23" spans="1:3" x14ac:dyDescent="0.25">
      <c r="A23" s="9" t="s">
        <v>130</v>
      </c>
      <c r="B23" s="5">
        <v>45.33</v>
      </c>
      <c r="C23" s="52">
        <v>25</v>
      </c>
    </row>
    <row r="24" spans="1:3" x14ac:dyDescent="0.25">
      <c r="A24" s="9" t="s">
        <v>164</v>
      </c>
      <c r="B24" s="5">
        <v>22.5</v>
      </c>
      <c r="C24" s="52">
        <v>2</v>
      </c>
    </row>
    <row r="25" spans="1:3" x14ac:dyDescent="0.25">
      <c r="A25" s="9" t="s">
        <v>157</v>
      </c>
      <c r="B25" s="5">
        <v>12</v>
      </c>
      <c r="C25" s="52">
        <v>4</v>
      </c>
    </row>
    <row r="26" spans="1:3" x14ac:dyDescent="0.25">
      <c r="A26" s="9" t="s">
        <v>137</v>
      </c>
      <c r="B26" s="5">
        <v>6.99</v>
      </c>
      <c r="C26" s="52">
        <v>5</v>
      </c>
    </row>
    <row r="27" spans="1:3" x14ac:dyDescent="0.25">
      <c r="A27" s="9" t="s">
        <v>108</v>
      </c>
      <c r="B27" s="5">
        <v>11.89</v>
      </c>
      <c r="C27" s="52">
        <v>13</v>
      </c>
    </row>
    <row r="28" spans="1:3" x14ac:dyDescent="0.25">
      <c r="A28" s="9" t="s">
        <v>117</v>
      </c>
      <c r="B28" s="5">
        <v>51.89</v>
      </c>
      <c r="C28" s="52">
        <v>15</v>
      </c>
    </row>
    <row r="29" spans="1:3" x14ac:dyDescent="0.25">
      <c r="A29" s="9" t="s">
        <v>63</v>
      </c>
      <c r="B29" s="5">
        <v>4.5</v>
      </c>
      <c r="C29" s="52">
        <v>4</v>
      </c>
    </row>
    <row r="30" spans="1:3" x14ac:dyDescent="0.25">
      <c r="A30" s="9" t="s">
        <v>151</v>
      </c>
      <c r="B30" s="5">
        <v>8.49</v>
      </c>
      <c r="C30" s="52">
        <v>6</v>
      </c>
    </row>
    <row r="31" spans="1:3" x14ac:dyDescent="0.25">
      <c r="A31" s="9" t="s">
        <v>126</v>
      </c>
      <c r="B31" s="5">
        <v>91.89</v>
      </c>
      <c r="C31" s="52">
        <v>17</v>
      </c>
    </row>
    <row r="32" spans="1:3" x14ac:dyDescent="0.25">
      <c r="A32" s="9" t="s">
        <v>154</v>
      </c>
      <c r="B32" s="5">
        <v>39.99</v>
      </c>
      <c r="C32" s="52">
        <v>3</v>
      </c>
    </row>
    <row r="33" spans="1:3" x14ac:dyDescent="0.25">
      <c r="A33" s="9" t="s">
        <v>31</v>
      </c>
      <c r="B33" s="5">
        <v>1064.48</v>
      </c>
      <c r="C33" s="52">
        <v>220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2604-C35C-4A36-B236-2885F49705C8}">
  <dimension ref="A1:S30"/>
  <sheetViews>
    <sheetView workbookViewId="0">
      <selection sqref="A1:G30"/>
    </sheetView>
  </sheetViews>
  <sheetFormatPr defaultColWidth="19.7109375" defaultRowHeight="15" x14ac:dyDescent="0.25"/>
  <sheetData>
    <row r="1" spans="1:19" ht="17.25" thickBot="1" x14ac:dyDescent="0.3">
      <c r="A1" s="10" t="s">
        <v>37</v>
      </c>
      <c r="B1" s="11" t="s">
        <v>38</v>
      </c>
      <c r="C1" s="12" t="s">
        <v>39</v>
      </c>
      <c r="D1" s="10" t="s">
        <v>40</v>
      </c>
      <c r="E1" s="10" t="s">
        <v>7</v>
      </c>
      <c r="F1" s="10" t="s">
        <v>41</v>
      </c>
      <c r="G1" s="10" t="s">
        <v>42</v>
      </c>
      <c r="H1" s="10" t="s">
        <v>43</v>
      </c>
      <c r="I1" s="13" t="s">
        <v>4</v>
      </c>
      <c r="J1" s="14" t="s">
        <v>3</v>
      </c>
      <c r="K1" s="15" t="s">
        <v>44</v>
      </c>
      <c r="L1" s="15" t="s">
        <v>45</v>
      </c>
      <c r="M1" s="15" t="s">
        <v>46</v>
      </c>
      <c r="N1" s="16" t="s">
        <v>47</v>
      </c>
      <c r="O1" s="16" t="s">
        <v>48</v>
      </c>
      <c r="P1" s="15" t="s">
        <v>49</v>
      </c>
      <c r="Q1" s="15" t="s">
        <v>50</v>
      </c>
      <c r="R1" s="10" t="s">
        <v>51</v>
      </c>
      <c r="S1" s="10" t="s">
        <v>52</v>
      </c>
    </row>
    <row r="2" spans="1:19" ht="18" thickTop="1" thickBot="1" x14ac:dyDescent="0.35">
      <c r="A2" s="17" t="s">
        <v>53</v>
      </c>
      <c r="B2" s="18" t="s">
        <v>54</v>
      </c>
      <c r="C2" s="19">
        <v>4.99</v>
      </c>
      <c r="D2" s="18">
        <v>2</v>
      </c>
      <c r="E2" s="20">
        <v>0.05</v>
      </c>
      <c r="F2" s="18" t="s">
        <v>55</v>
      </c>
      <c r="G2" s="21">
        <v>0.23</v>
      </c>
      <c r="H2" s="18" t="s">
        <v>56</v>
      </c>
      <c r="I2" s="22" t="s">
        <v>57</v>
      </c>
      <c r="J2" s="23" t="s">
        <v>58</v>
      </c>
      <c r="K2" s="24">
        <v>64400</v>
      </c>
      <c r="L2" s="25">
        <v>0.12</v>
      </c>
      <c r="M2" s="26"/>
      <c r="N2" s="27"/>
      <c r="O2" s="28"/>
      <c r="P2" s="29"/>
      <c r="Q2" s="30"/>
      <c r="R2" s="18"/>
      <c r="S2" s="18"/>
    </row>
    <row r="3" spans="1:19" ht="18" thickTop="1" thickBot="1" x14ac:dyDescent="0.35">
      <c r="A3" s="18" t="s">
        <v>59</v>
      </c>
      <c r="B3" s="18" t="s">
        <v>60</v>
      </c>
      <c r="C3" s="19">
        <v>7.25</v>
      </c>
      <c r="D3" s="18">
        <v>3</v>
      </c>
      <c r="E3" s="20">
        <v>0.02</v>
      </c>
      <c r="F3" s="18" t="s">
        <v>61</v>
      </c>
      <c r="G3" s="21">
        <v>0.24</v>
      </c>
      <c r="H3" s="18" t="s">
        <v>62</v>
      </c>
      <c r="I3" s="22" t="s">
        <v>57</v>
      </c>
      <c r="J3" s="23" t="s">
        <v>58</v>
      </c>
      <c r="K3" s="24">
        <v>36400</v>
      </c>
      <c r="L3" s="25">
        <v>0.04</v>
      </c>
      <c r="M3" s="26"/>
      <c r="N3" s="27"/>
      <c r="O3" s="28"/>
      <c r="P3" s="29"/>
      <c r="Q3" s="30"/>
      <c r="R3" s="18"/>
      <c r="S3" s="18"/>
    </row>
    <row r="4" spans="1:19" ht="18" thickTop="1" thickBot="1" x14ac:dyDescent="0.35">
      <c r="A4" s="18" t="s">
        <v>53</v>
      </c>
      <c r="B4" s="18" t="s">
        <v>63</v>
      </c>
      <c r="C4" s="19">
        <v>4.5</v>
      </c>
      <c r="D4" s="18">
        <v>4</v>
      </c>
      <c r="E4" s="20">
        <v>0.03</v>
      </c>
      <c r="F4" s="18" t="s">
        <v>64</v>
      </c>
      <c r="G4" s="21">
        <v>0.1</v>
      </c>
      <c r="H4" s="18" t="s">
        <v>65</v>
      </c>
      <c r="I4" s="22" t="s">
        <v>57</v>
      </c>
      <c r="J4" s="23" t="s">
        <v>66</v>
      </c>
      <c r="K4" s="24">
        <v>36700</v>
      </c>
      <c r="L4" s="25">
        <v>0.05</v>
      </c>
      <c r="M4" s="26"/>
      <c r="N4" s="27"/>
      <c r="O4" s="28"/>
      <c r="P4" s="29"/>
      <c r="Q4" s="30"/>
      <c r="R4" s="18"/>
      <c r="S4" s="18"/>
    </row>
    <row r="5" spans="1:19" ht="17.25" thickTop="1" x14ac:dyDescent="0.3">
      <c r="A5" s="18" t="s">
        <v>67</v>
      </c>
      <c r="B5" s="18" t="s">
        <v>68</v>
      </c>
      <c r="C5" s="19">
        <v>89.79</v>
      </c>
      <c r="D5" s="18">
        <v>5</v>
      </c>
      <c r="E5" s="20">
        <v>0.04</v>
      </c>
      <c r="F5" s="18" t="s">
        <v>69</v>
      </c>
      <c r="G5" s="21">
        <v>0.12</v>
      </c>
      <c r="H5" s="18" t="s">
        <v>70</v>
      </c>
      <c r="I5" s="22" t="s">
        <v>57</v>
      </c>
      <c r="J5" s="23" t="s">
        <v>71</v>
      </c>
      <c r="K5" s="24">
        <v>35000</v>
      </c>
      <c r="L5" s="25">
        <v>0.06</v>
      </c>
      <c r="M5" s="26"/>
      <c r="N5" s="27"/>
      <c r="O5" s="28"/>
      <c r="P5" s="29"/>
      <c r="Q5" s="30"/>
      <c r="R5" s="18"/>
      <c r="S5" s="18"/>
    </row>
    <row r="6" spans="1:19" ht="16.5" x14ac:dyDescent="0.3">
      <c r="A6" s="18" t="s">
        <v>72</v>
      </c>
      <c r="B6" s="18" t="s">
        <v>73</v>
      </c>
      <c r="C6" s="19">
        <v>3.99</v>
      </c>
      <c r="D6" s="18">
        <v>6</v>
      </c>
      <c r="E6" s="20">
        <v>0.05</v>
      </c>
      <c r="F6" s="18" t="s">
        <v>74</v>
      </c>
      <c r="G6" s="31">
        <v>0.04</v>
      </c>
      <c r="H6" s="18" t="s">
        <v>75</v>
      </c>
      <c r="I6" s="32" t="s">
        <v>76</v>
      </c>
      <c r="J6" s="33" t="s">
        <v>71</v>
      </c>
      <c r="K6" s="24">
        <v>13000</v>
      </c>
      <c r="L6" s="25">
        <v>7.0000000000000007E-2</v>
      </c>
      <c r="M6" s="26"/>
      <c r="N6" s="27"/>
      <c r="O6" s="28"/>
      <c r="P6" s="29"/>
      <c r="Q6" s="30"/>
      <c r="R6" s="18"/>
      <c r="S6" s="18"/>
    </row>
    <row r="7" spans="1:19" ht="16.5" x14ac:dyDescent="0.3">
      <c r="A7" s="18" t="s">
        <v>77</v>
      </c>
      <c r="B7" s="18" t="s">
        <v>78</v>
      </c>
      <c r="C7" s="19">
        <v>78.900000000000006</v>
      </c>
      <c r="D7" s="18">
        <v>7</v>
      </c>
      <c r="E7" s="20">
        <v>0.06</v>
      </c>
      <c r="F7" s="18" t="s">
        <v>79</v>
      </c>
      <c r="G7" s="31">
        <v>0.05</v>
      </c>
      <c r="H7" s="18" t="s">
        <v>80</v>
      </c>
      <c r="I7" s="22" t="s">
        <v>76</v>
      </c>
      <c r="J7" s="23" t="s">
        <v>81</v>
      </c>
      <c r="K7" s="24">
        <v>8500</v>
      </c>
      <c r="L7" s="25">
        <v>0.08</v>
      </c>
      <c r="M7" s="26"/>
      <c r="N7" s="27"/>
      <c r="O7" s="28"/>
      <c r="P7" s="29"/>
      <c r="Q7" s="30"/>
      <c r="R7" s="18"/>
      <c r="S7" s="18"/>
    </row>
    <row r="8" spans="1:19" ht="16.5" x14ac:dyDescent="0.3">
      <c r="A8" s="18" t="s">
        <v>82</v>
      </c>
      <c r="B8" s="18" t="s">
        <v>83</v>
      </c>
      <c r="C8" s="19">
        <v>7.87</v>
      </c>
      <c r="D8" s="18">
        <v>8</v>
      </c>
      <c r="E8" s="20">
        <v>7.0000000000000007E-2</v>
      </c>
      <c r="F8" s="18" t="s">
        <v>84</v>
      </c>
      <c r="G8" s="31">
        <v>0.06</v>
      </c>
      <c r="H8" s="18" t="s">
        <v>85</v>
      </c>
      <c r="I8" s="22" t="s">
        <v>76</v>
      </c>
      <c r="J8" s="34" t="s">
        <v>86</v>
      </c>
      <c r="K8" s="35">
        <v>29000</v>
      </c>
      <c r="L8" s="25">
        <v>0.09</v>
      </c>
      <c r="M8" s="26"/>
      <c r="N8" s="27"/>
      <c r="O8" s="28"/>
      <c r="P8" s="29"/>
      <c r="Q8" s="30"/>
      <c r="R8" s="18"/>
      <c r="S8" s="18"/>
    </row>
    <row r="9" spans="1:19" ht="16.5" x14ac:dyDescent="0.3">
      <c r="A9" s="18" t="s">
        <v>87</v>
      </c>
      <c r="B9" s="18" t="s">
        <v>88</v>
      </c>
      <c r="C9" s="19">
        <v>14.09</v>
      </c>
      <c r="D9" s="18">
        <v>9</v>
      </c>
      <c r="E9" s="20">
        <v>0.08</v>
      </c>
      <c r="F9" s="18" t="s">
        <v>89</v>
      </c>
      <c r="G9" s="31">
        <v>7.0000000000000007E-2</v>
      </c>
      <c r="H9" s="18" t="s">
        <v>90</v>
      </c>
      <c r="I9" s="22" t="s">
        <v>76</v>
      </c>
      <c r="J9" s="34" t="s">
        <v>86</v>
      </c>
      <c r="K9" s="36">
        <v>23600</v>
      </c>
      <c r="L9" s="25">
        <v>0.1</v>
      </c>
      <c r="M9" s="26"/>
      <c r="N9" s="27"/>
      <c r="O9" s="28"/>
      <c r="P9" s="29"/>
      <c r="Q9" s="30"/>
      <c r="R9" s="18"/>
      <c r="S9" s="18"/>
    </row>
    <row r="10" spans="1:19" ht="16.5" x14ac:dyDescent="0.3">
      <c r="A10" s="18" t="s">
        <v>91</v>
      </c>
      <c r="B10" s="18" t="s">
        <v>92</v>
      </c>
      <c r="C10" s="19">
        <v>90.89</v>
      </c>
      <c r="D10" s="18">
        <v>10</v>
      </c>
      <c r="E10" s="20">
        <v>0.09</v>
      </c>
      <c r="F10" s="18" t="s">
        <v>93</v>
      </c>
      <c r="G10" s="31">
        <v>0.08</v>
      </c>
      <c r="H10" s="18" t="s">
        <v>94</v>
      </c>
      <c r="I10" s="37" t="s">
        <v>95</v>
      </c>
      <c r="J10" s="34" t="s">
        <v>96</v>
      </c>
      <c r="K10" s="38">
        <v>90700</v>
      </c>
      <c r="L10" s="25">
        <v>0.11</v>
      </c>
      <c r="M10" s="26"/>
      <c r="N10" s="27"/>
      <c r="O10" s="28"/>
      <c r="P10" s="29"/>
      <c r="Q10" s="30"/>
      <c r="R10" s="18"/>
      <c r="S10" s="18"/>
    </row>
    <row r="11" spans="1:19" ht="16.5" x14ac:dyDescent="0.3">
      <c r="A11" s="18" t="s">
        <v>77</v>
      </c>
      <c r="B11" s="18" t="s">
        <v>97</v>
      </c>
      <c r="C11" s="19">
        <v>2.89</v>
      </c>
      <c r="D11" s="18">
        <v>11</v>
      </c>
      <c r="E11" s="20">
        <v>0.1</v>
      </c>
      <c r="F11" s="18" t="s">
        <v>98</v>
      </c>
      <c r="G11" s="31">
        <v>0.09</v>
      </c>
      <c r="H11" s="18" t="s">
        <v>99</v>
      </c>
      <c r="I11" s="37" t="s">
        <v>95</v>
      </c>
      <c r="J11" s="34" t="s">
        <v>100</v>
      </c>
      <c r="K11" s="35">
        <v>7500</v>
      </c>
      <c r="L11" s="25">
        <v>0.12</v>
      </c>
      <c r="M11" s="26"/>
      <c r="N11" s="27"/>
      <c r="O11" s="28"/>
      <c r="P11" s="29"/>
      <c r="Q11" s="30"/>
      <c r="R11" s="18"/>
      <c r="S11" s="18"/>
    </row>
    <row r="12" spans="1:19" ht="16.5" x14ac:dyDescent="0.3">
      <c r="A12" s="18" t="s">
        <v>101</v>
      </c>
      <c r="B12" s="18" t="s">
        <v>102</v>
      </c>
      <c r="C12" s="19">
        <v>55.59</v>
      </c>
      <c r="D12" s="18">
        <v>12</v>
      </c>
      <c r="E12" s="20">
        <v>0.11</v>
      </c>
      <c r="F12" s="18" t="s">
        <v>103</v>
      </c>
      <c r="G12" s="31">
        <v>0.1</v>
      </c>
      <c r="H12" s="18" t="s">
        <v>104</v>
      </c>
      <c r="I12" s="37" t="s">
        <v>105</v>
      </c>
      <c r="J12" s="34" t="s">
        <v>106</v>
      </c>
      <c r="K12" s="35">
        <v>17500</v>
      </c>
      <c r="L12" s="25">
        <v>0.13</v>
      </c>
      <c r="M12" s="26"/>
      <c r="N12" s="27"/>
      <c r="O12" s="28"/>
      <c r="P12" s="29"/>
      <c r="Q12" s="30"/>
      <c r="R12" s="18"/>
      <c r="S12" s="18"/>
    </row>
    <row r="13" spans="1:19" ht="16.5" x14ac:dyDescent="0.3">
      <c r="A13" s="18" t="s">
        <v>107</v>
      </c>
      <c r="B13" s="18" t="s">
        <v>108</v>
      </c>
      <c r="C13" s="19">
        <v>11.89</v>
      </c>
      <c r="D13" s="18">
        <v>13</v>
      </c>
      <c r="E13" s="20">
        <v>0.12</v>
      </c>
      <c r="F13" s="18" t="s">
        <v>109</v>
      </c>
      <c r="G13" s="31">
        <v>0.23</v>
      </c>
      <c r="H13" s="18" t="s">
        <v>110</v>
      </c>
      <c r="I13" s="37" t="s">
        <v>105</v>
      </c>
      <c r="J13" s="34" t="s">
        <v>58</v>
      </c>
      <c r="K13" s="35">
        <v>8500</v>
      </c>
      <c r="L13" s="25">
        <v>0.14000000000000001</v>
      </c>
      <c r="M13" s="26"/>
      <c r="N13" s="27"/>
      <c r="O13" s="28"/>
      <c r="P13" s="29"/>
      <c r="Q13" s="30"/>
      <c r="R13" s="18"/>
      <c r="S13" s="18"/>
    </row>
    <row r="14" spans="1:19" ht="16.5" x14ac:dyDescent="0.3">
      <c r="A14" s="18" t="s">
        <v>111</v>
      </c>
      <c r="B14" s="18" t="s">
        <v>112</v>
      </c>
      <c r="C14" s="19">
        <v>31.89</v>
      </c>
      <c r="D14" s="18">
        <v>14</v>
      </c>
      <c r="E14" s="20">
        <v>0.13</v>
      </c>
      <c r="F14" s="18" t="s">
        <v>113</v>
      </c>
      <c r="G14" s="31">
        <v>0.24</v>
      </c>
      <c r="H14" s="18" t="s">
        <v>114</v>
      </c>
      <c r="I14" s="37" t="s">
        <v>105</v>
      </c>
      <c r="J14" s="34" t="s">
        <v>115</v>
      </c>
      <c r="K14" s="35">
        <v>56000</v>
      </c>
      <c r="L14" s="25">
        <v>0.06</v>
      </c>
      <c r="M14" s="26"/>
      <c r="N14" s="27"/>
      <c r="O14" s="28"/>
      <c r="P14" s="29"/>
      <c r="Q14" s="30"/>
      <c r="R14" s="18"/>
      <c r="S14" s="18"/>
    </row>
    <row r="15" spans="1:19" ht="16.5" x14ac:dyDescent="0.3">
      <c r="A15" s="18" t="s">
        <v>116</v>
      </c>
      <c r="B15" s="18" t="s">
        <v>117</v>
      </c>
      <c r="C15" s="19">
        <v>51.89</v>
      </c>
      <c r="D15" s="18">
        <v>15</v>
      </c>
      <c r="E15" s="20">
        <v>0.14000000000000001</v>
      </c>
      <c r="F15" s="18" t="s">
        <v>118</v>
      </c>
      <c r="G15" s="31">
        <v>0.25</v>
      </c>
      <c r="H15" s="18" t="s">
        <v>119</v>
      </c>
      <c r="I15" s="39" t="s">
        <v>105</v>
      </c>
      <c r="J15" s="40" t="s">
        <v>120</v>
      </c>
      <c r="K15" s="35">
        <v>56000</v>
      </c>
      <c r="L15" s="25">
        <v>0.16</v>
      </c>
      <c r="M15" s="26"/>
      <c r="N15" s="27"/>
      <c r="O15" s="28"/>
      <c r="P15" s="29"/>
      <c r="Q15" s="30"/>
      <c r="R15" s="18"/>
      <c r="S15" s="18"/>
    </row>
    <row r="16" spans="1:19" ht="16.5" x14ac:dyDescent="0.3">
      <c r="A16" s="18" t="s">
        <v>121</v>
      </c>
      <c r="B16" s="18" t="s">
        <v>122</v>
      </c>
      <c r="C16" s="19">
        <v>71.89</v>
      </c>
      <c r="D16" s="18">
        <v>16</v>
      </c>
      <c r="E16" s="20">
        <v>0.15</v>
      </c>
      <c r="F16" s="18" t="s">
        <v>123</v>
      </c>
      <c r="G16" s="31">
        <v>0.26</v>
      </c>
      <c r="H16" s="18" t="s">
        <v>124</v>
      </c>
      <c r="I16" s="18" t="s">
        <v>76</v>
      </c>
      <c r="J16" s="23" t="s">
        <v>71</v>
      </c>
      <c r="K16" s="35">
        <v>56000</v>
      </c>
      <c r="L16" s="25">
        <v>0.26</v>
      </c>
      <c r="M16" s="26"/>
      <c r="N16" s="27"/>
      <c r="O16" s="28"/>
      <c r="P16" s="29"/>
      <c r="Q16" s="30"/>
      <c r="R16" s="18"/>
      <c r="S16" s="18"/>
    </row>
    <row r="17" spans="1:19" ht="16.5" x14ac:dyDescent="0.3">
      <c r="A17" s="18" t="s">
        <v>125</v>
      </c>
      <c r="B17" s="18" t="s">
        <v>126</v>
      </c>
      <c r="C17" s="19">
        <v>91.89</v>
      </c>
      <c r="D17" s="18">
        <v>17</v>
      </c>
      <c r="E17" s="20">
        <v>0.16</v>
      </c>
      <c r="F17" s="18" t="s">
        <v>127</v>
      </c>
      <c r="G17" s="31">
        <v>0.27</v>
      </c>
      <c r="H17" s="18" t="s">
        <v>128</v>
      </c>
      <c r="I17" s="18" t="s">
        <v>76</v>
      </c>
      <c r="J17" s="23" t="s">
        <v>71</v>
      </c>
      <c r="K17" s="35">
        <v>56000</v>
      </c>
      <c r="L17" s="25">
        <v>0.36</v>
      </c>
      <c r="M17" s="26"/>
      <c r="N17" s="27"/>
      <c r="O17" s="28"/>
      <c r="P17" s="29"/>
      <c r="Q17" s="30"/>
      <c r="R17" s="18"/>
      <c r="S17" s="18"/>
    </row>
    <row r="18" spans="1:19" ht="16.5" x14ac:dyDescent="0.3">
      <c r="A18" s="18" t="s">
        <v>129</v>
      </c>
      <c r="B18" s="18" t="s">
        <v>130</v>
      </c>
      <c r="C18" s="41">
        <v>45.33</v>
      </c>
      <c r="D18" s="18">
        <v>25</v>
      </c>
      <c r="E18" s="42">
        <v>0.05</v>
      </c>
      <c r="F18" s="18" t="s">
        <v>131</v>
      </c>
      <c r="G18" s="31">
        <v>0.21</v>
      </c>
      <c r="H18" s="18" t="s">
        <v>132</v>
      </c>
      <c r="I18" s="43" t="s">
        <v>95</v>
      </c>
      <c r="J18" s="44" t="s">
        <v>96</v>
      </c>
      <c r="K18" s="45">
        <v>45000</v>
      </c>
      <c r="L18" s="25">
        <v>0.25</v>
      </c>
      <c r="M18" s="26"/>
      <c r="N18" s="27"/>
      <c r="O18" s="28"/>
      <c r="P18" s="29"/>
      <c r="Q18" s="30"/>
    </row>
    <row r="19" spans="1:19" ht="16.5" x14ac:dyDescent="0.3">
      <c r="A19" s="46" t="s">
        <v>133</v>
      </c>
      <c r="B19" s="46" t="s">
        <v>134</v>
      </c>
      <c r="C19" s="47">
        <v>3.75</v>
      </c>
      <c r="D19" s="46">
        <v>2</v>
      </c>
      <c r="E19" s="48">
        <v>0.02</v>
      </c>
      <c r="F19" s="46" t="s">
        <v>55</v>
      </c>
      <c r="G19" s="31">
        <v>0.1</v>
      </c>
      <c r="H19" s="46" t="s">
        <v>135</v>
      </c>
      <c r="I19" s="46" t="s">
        <v>57</v>
      </c>
      <c r="J19" s="46" t="s">
        <v>58</v>
      </c>
      <c r="K19" s="45">
        <v>51000</v>
      </c>
      <c r="L19" s="25">
        <v>0.2</v>
      </c>
      <c r="M19" s="26"/>
      <c r="N19" s="27"/>
      <c r="O19" s="28"/>
      <c r="P19" s="29"/>
      <c r="Q19" s="30"/>
    </row>
    <row r="20" spans="1:19" ht="16.5" x14ac:dyDescent="0.3">
      <c r="A20" s="46" t="s">
        <v>136</v>
      </c>
      <c r="B20" s="46" t="s">
        <v>137</v>
      </c>
      <c r="C20" s="47">
        <v>6.99</v>
      </c>
      <c r="D20" s="46">
        <v>5</v>
      </c>
      <c r="E20" s="48">
        <v>0.05</v>
      </c>
      <c r="F20" s="46" t="s">
        <v>64</v>
      </c>
      <c r="G20" s="31">
        <v>0.12</v>
      </c>
      <c r="H20" s="46" t="s">
        <v>138</v>
      </c>
      <c r="I20" s="46" t="s">
        <v>57</v>
      </c>
      <c r="J20" s="46" t="s">
        <v>71</v>
      </c>
      <c r="K20" s="45">
        <v>65000</v>
      </c>
      <c r="L20" s="25">
        <v>0.15</v>
      </c>
      <c r="M20" s="26"/>
      <c r="N20" s="27"/>
      <c r="O20" s="28"/>
      <c r="P20" s="29"/>
      <c r="Q20" s="30"/>
    </row>
    <row r="21" spans="1:19" ht="16.5" x14ac:dyDescent="0.3">
      <c r="A21" s="46" t="s">
        <v>139</v>
      </c>
      <c r="B21" s="46" t="s">
        <v>140</v>
      </c>
      <c r="C21" s="47">
        <v>79.989999999999995</v>
      </c>
      <c r="D21" s="46">
        <v>3</v>
      </c>
      <c r="E21" s="48">
        <v>7.0000000000000007E-2</v>
      </c>
      <c r="F21" s="46" t="s">
        <v>84</v>
      </c>
      <c r="G21" s="31">
        <v>0.15</v>
      </c>
      <c r="H21" s="46" t="s">
        <v>141</v>
      </c>
      <c r="I21" s="46" t="s">
        <v>105</v>
      </c>
      <c r="J21" s="46" t="s">
        <v>115</v>
      </c>
      <c r="K21" s="45">
        <v>45000</v>
      </c>
      <c r="L21" s="25">
        <v>0.06</v>
      </c>
      <c r="M21" s="26"/>
      <c r="N21" s="27"/>
      <c r="O21" s="28"/>
      <c r="P21" s="29"/>
      <c r="Q21" s="30"/>
    </row>
    <row r="22" spans="1:19" ht="16.5" x14ac:dyDescent="0.3">
      <c r="A22" s="46" t="s">
        <v>142</v>
      </c>
      <c r="B22" s="46" t="s">
        <v>143</v>
      </c>
      <c r="C22" s="47">
        <v>45</v>
      </c>
      <c r="D22" s="46">
        <v>4</v>
      </c>
      <c r="E22" s="48">
        <v>0.09</v>
      </c>
      <c r="F22" s="46" t="s">
        <v>89</v>
      </c>
      <c r="G22" s="31">
        <v>0.18</v>
      </c>
      <c r="H22" s="46" t="s">
        <v>144</v>
      </c>
      <c r="I22" s="46" t="s">
        <v>76</v>
      </c>
      <c r="J22" s="46" t="s">
        <v>145</v>
      </c>
      <c r="K22" s="45">
        <v>39000</v>
      </c>
      <c r="L22" s="25">
        <v>0.18</v>
      </c>
      <c r="M22" s="26"/>
      <c r="N22" s="27"/>
      <c r="O22" s="28"/>
      <c r="P22" s="29"/>
      <c r="Q22" s="30"/>
    </row>
    <row r="23" spans="1:19" ht="16.5" x14ac:dyDescent="0.3">
      <c r="A23" s="46" t="s">
        <v>146</v>
      </c>
      <c r="B23" s="46" t="s">
        <v>147</v>
      </c>
      <c r="C23" s="47">
        <v>69.900000000000006</v>
      </c>
      <c r="D23" s="46">
        <v>2</v>
      </c>
      <c r="E23" s="48">
        <v>0.1</v>
      </c>
      <c r="F23" s="46" t="s">
        <v>98</v>
      </c>
      <c r="G23" s="31">
        <v>0.11</v>
      </c>
      <c r="H23" s="46" t="s">
        <v>148</v>
      </c>
      <c r="I23" s="46" t="s">
        <v>95</v>
      </c>
      <c r="J23" s="46" t="s">
        <v>149</v>
      </c>
      <c r="K23" s="45">
        <v>31000</v>
      </c>
      <c r="L23" s="25">
        <v>0.28999999999999998</v>
      </c>
      <c r="M23" s="26"/>
      <c r="N23" s="27"/>
      <c r="O23" s="28"/>
      <c r="P23" s="29"/>
      <c r="Q23" s="30"/>
    </row>
    <row r="24" spans="1:19" ht="16.5" x14ac:dyDescent="0.3">
      <c r="A24" s="46" t="s">
        <v>150</v>
      </c>
      <c r="B24" s="46" t="s">
        <v>151</v>
      </c>
      <c r="C24" s="47">
        <v>8.49</v>
      </c>
      <c r="D24" s="46">
        <v>6</v>
      </c>
      <c r="E24" s="48">
        <v>0.06</v>
      </c>
      <c r="F24" s="46" t="s">
        <v>74</v>
      </c>
      <c r="G24" s="31">
        <v>0.09</v>
      </c>
      <c r="H24" s="46" t="s">
        <v>152</v>
      </c>
      <c r="I24" s="46" t="s">
        <v>57</v>
      </c>
      <c r="J24" s="46" t="s">
        <v>66</v>
      </c>
      <c r="K24" s="45">
        <v>58000</v>
      </c>
      <c r="L24" s="25">
        <v>0.08</v>
      </c>
      <c r="M24" s="26"/>
      <c r="N24" s="27"/>
      <c r="O24" s="28"/>
      <c r="P24" s="29"/>
      <c r="Q24" s="30"/>
    </row>
    <row r="25" spans="1:19" ht="16.5" x14ac:dyDescent="0.3">
      <c r="A25" s="46" t="s">
        <v>153</v>
      </c>
      <c r="B25" s="46" t="s">
        <v>154</v>
      </c>
      <c r="C25" s="47">
        <v>39.99</v>
      </c>
      <c r="D25" s="46">
        <v>3</v>
      </c>
      <c r="E25" s="48">
        <v>0.08</v>
      </c>
      <c r="F25" s="46" t="s">
        <v>93</v>
      </c>
      <c r="G25" s="31">
        <v>0.13</v>
      </c>
      <c r="H25" s="46" t="s">
        <v>155</v>
      </c>
      <c r="I25" s="46" t="s">
        <v>76</v>
      </c>
      <c r="J25" s="46" t="s">
        <v>81</v>
      </c>
      <c r="K25" s="45">
        <v>25000</v>
      </c>
      <c r="L25" s="25">
        <v>0.12</v>
      </c>
      <c r="M25" s="26"/>
      <c r="N25" s="27"/>
      <c r="O25" s="28"/>
      <c r="P25" s="29"/>
      <c r="Q25" s="30"/>
    </row>
    <row r="26" spans="1:19" ht="16.5" x14ac:dyDescent="0.3">
      <c r="A26" s="46" t="s">
        <v>156</v>
      </c>
      <c r="B26" s="46" t="s">
        <v>157</v>
      </c>
      <c r="C26" s="47">
        <v>12</v>
      </c>
      <c r="D26" s="46">
        <v>4</v>
      </c>
      <c r="E26" s="48">
        <v>0.05</v>
      </c>
      <c r="F26" s="46" t="s">
        <v>118</v>
      </c>
      <c r="G26" s="31">
        <v>0.17</v>
      </c>
      <c r="H26" s="46" t="s">
        <v>158</v>
      </c>
      <c r="I26" s="46" t="s">
        <v>95</v>
      </c>
      <c r="J26" s="46" t="s">
        <v>96</v>
      </c>
      <c r="K26" s="45">
        <v>62000</v>
      </c>
      <c r="L26" s="25">
        <v>0.18</v>
      </c>
      <c r="M26" s="26"/>
      <c r="N26" s="27"/>
      <c r="O26" s="28"/>
      <c r="P26" s="29"/>
      <c r="Q26" s="30"/>
    </row>
    <row r="27" spans="1:19" ht="16.5" x14ac:dyDescent="0.3">
      <c r="A27" s="46" t="s">
        <v>159</v>
      </c>
      <c r="B27" s="46" t="s">
        <v>160</v>
      </c>
      <c r="C27" s="47">
        <v>19.95</v>
      </c>
      <c r="D27" s="46">
        <v>5</v>
      </c>
      <c r="E27" s="48">
        <v>0.04</v>
      </c>
      <c r="F27" s="46" t="s">
        <v>109</v>
      </c>
      <c r="G27" s="31">
        <v>0.16</v>
      </c>
      <c r="H27" s="46" t="s">
        <v>161</v>
      </c>
      <c r="I27" s="46" t="s">
        <v>105</v>
      </c>
      <c r="J27" s="46" t="s">
        <v>162</v>
      </c>
      <c r="K27" s="45">
        <v>38000</v>
      </c>
      <c r="L27" s="25">
        <v>0.11</v>
      </c>
      <c r="M27" s="26"/>
      <c r="N27" s="27"/>
      <c r="O27" s="28"/>
      <c r="P27" s="29"/>
      <c r="Q27" s="30"/>
    </row>
    <row r="28" spans="1:19" ht="16.5" x14ac:dyDescent="0.3">
      <c r="A28" s="46" t="s">
        <v>163</v>
      </c>
      <c r="B28" s="46" t="s">
        <v>164</v>
      </c>
      <c r="C28" s="47">
        <v>22.5</v>
      </c>
      <c r="D28" s="46">
        <v>2</v>
      </c>
      <c r="E28" s="48">
        <v>7.0000000000000007E-2</v>
      </c>
      <c r="F28" s="46" t="s">
        <v>103</v>
      </c>
      <c r="G28" s="31">
        <v>0.14000000000000001</v>
      </c>
      <c r="H28" s="46" t="s">
        <v>165</v>
      </c>
      <c r="I28" s="46" t="s">
        <v>57</v>
      </c>
      <c r="J28" s="46" t="s">
        <v>66</v>
      </c>
      <c r="K28" s="45">
        <v>27000</v>
      </c>
      <c r="L28" s="25">
        <v>0.15</v>
      </c>
      <c r="M28" s="26"/>
      <c r="N28" s="27"/>
      <c r="O28" s="28"/>
      <c r="P28" s="29"/>
      <c r="Q28" s="30"/>
    </row>
    <row r="29" spans="1:19" ht="16.5" x14ac:dyDescent="0.3">
      <c r="A29" s="46" t="s">
        <v>87</v>
      </c>
      <c r="B29" s="46" t="s">
        <v>166</v>
      </c>
      <c r="C29" s="47">
        <v>74.900000000000006</v>
      </c>
      <c r="D29" s="46">
        <v>3</v>
      </c>
      <c r="E29" s="48">
        <v>0.08</v>
      </c>
      <c r="F29" s="46" t="s">
        <v>69</v>
      </c>
      <c r="G29" s="31">
        <v>0.12</v>
      </c>
      <c r="H29" s="46" t="s">
        <v>167</v>
      </c>
      <c r="I29" s="46" t="s">
        <v>105</v>
      </c>
      <c r="J29" s="46" t="s">
        <v>115</v>
      </c>
      <c r="K29" s="45">
        <v>29000</v>
      </c>
      <c r="L29" s="25">
        <v>0.12</v>
      </c>
      <c r="M29" s="26"/>
      <c r="N29" s="27"/>
      <c r="O29" s="28"/>
      <c r="P29" s="29"/>
      <c r="Q29" s="30"/>
    </row>
    <row r="30" spans="1:19" ht="16.5" x14ac:dyDescent="0.3">
      <c r="A30" s="46" t="s">
        <v>168</v>
      </c>
      <c r="B30" s="46" t="s">
        <v>169</v>
      </c>
      <c r="C30" s="47">
        <v>15.49</v>
      </c>
      <c r="D30" s="46">
        <v>4</v>
      </c>
      <c r="E30" s="48">
        <v>0.05</v>
      </c>
      <c r="F30" s="46" t="s">
        <v>79</v>
      </c>
      <c r="G30" s="31">
        <v>0.1</v>
      </c>
      <c r="H30" s="46" t="s">
        <v>170</v>
      </c>
      <c r="I30" s="46" t="s">
        <v>57</v>
      </c>
      <c r="J30" s="46" t="s">
        <v>58</v>
      </c>
      <c r="K30" s="45">
        <v>38510</v>
      </c>
      <c r="L30" s="25">
        <v>0.09</v>
      </c>
      <c r="M30" s="26"/>
      <c r="N30" s="27"/>
      <c r="O30" s="28"/>
      <c r="P30" s="29"/>
      <c r="Q30" s="30"/>
    </row>
  </sheetData>
  <conditionalFormatting sqref="G2:G30">
    <cfRule type="expression" dxfId="40" priority="14">
      <formula>$B2=1</formula>
    </cfRule>
    <cfRule type="expression" dxfId="39" priority="15">
      <formula>#REF!="yes"</formula>
    </cfRule>
  </conditionalFormatting>
  <conditionalFormatting sqref="J1">
    <cfRule type="duplicateValues" dxfId="38" priority="13"/>
  </conditionalFormatting>
  <conditionalFormatting sqref="K1">
    <cfRule type="top10" dxfId="37" priority="12" percent="1" rank="5"/>
  </conditionalFormatting>
  <conditionalFormatting sqref="K2:K30">
    <cfRule type="top10" dxfId="36" priority="4" rank="3"/>
    <cfRule type="top10" dxfId="35" priority="8" rank="3"/>
    <cfRule type="iconSet" priority="10">
      <iconSet iconSet="3Arrows">
        <cfvo type="percent" val="0"/>
        <cfvo type="num" val="35000"/>
        <cfvo type="num" val="78000"/>
      </iconSet>
    </cfRule>
    <cfRule type="top10" dxfId="34" priority="11" rank="2"/>
  </conditionalFormatting>
  <conditionalFormatting sqref="M2:M30">
    <cfRule type="top10" dxfId="33" priority="5" bottom="1" rank="2"/>
    <cfRule type="iconSet" priority="6">
      <iconSet iconSet="3Arrows">
        <cfvo type="percent" val="0"/>
        <cfvo type="num" val="1200"/>
        <cfvo type="num" val="3000"/>
      </iconSet>
    </cfRule>
    <cfRule type="top10" dxfId="32" priority="7" rank="3"/>
    <cfRule type="top10" dxfId="31" priority="9" rank="3"/>
  </conditionalFormatting>
  <conditionalFormatting sqref="N2:N30">
    <cfRule type="iconSet" priority="3">
      <iconSet iconSet="3Arrows">
        <cfvo type="percent" val="0"/>
        <cfvo type="num" val="14000"/>
        <cfvo type="num" val="34000"/>
      </iconSet>
    </cfRule>
  </conditionalFormatting>
  <conditionalFormatting sqref="O2:O30">
    <cfRule type="expression" dxfId="30" priority="2">
      <formula>IF(EXACT($W19,"BikeRacks"),TRUE,FALSE)</formula>
    </cfRule>
  </conditionalFormatting>
  <conditionalFormatting sqref="P2:P30">
    <cfRule type="iconSet" priority="1">
      <iconSet iconSet="3Arrows">
        <cfvo type="percent" val="0"/>
        <cfvo type="percent" val="9"/>
        <cfvo type="percent" val="12" gte="0"/>
      </iconSet>
    </cfRule>
  </conditionalFormatting>
  <dataValidations count="1">
    <dataValidation type="list" allowBlank="1" showInputMessage="1" showErrorMessage="1" sqref="A2:A30" xr:uid="{6A5ABF93-8CA1-4A9E-9C53-3E60096B1018}">
      <formula1>$A$1:$A$30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Sheet1</vt:lpstr>
      <vt:lpstr>Sheet2</vt:lpstr>
      <vt:lpstr>Sheet5</vt:lpstr>
      <vt:lpstr>Dataset</vt:lpstr>
      <vt:lpstr>Sheet3</vt:lpstr>
      <vt:lpstr>Data_Set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Sandipan Gupta</dc:creator>
  <cp:lastModifiedBy>Sandipan Gupta</cp:lastModifiedBy>
  <dcterms:created xsi:type="dcterms:W3CDTF">2024-10-21T07:57:27Z</dcterms:created>
  <dcterms:modified xsi:type="dcterms:W3CDTF">2026-09-30T06:26:04Z</dcterms:modified>
</cp:coreProperties>
</file>